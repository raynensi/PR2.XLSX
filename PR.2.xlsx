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df1e9435e696fda9/Documents/"/>
    </mc:Choice>
  </mc:AlternateContent>
  <xr:revisionPtr revIDLastSave="150" documentId="8_{3D09822F-B66E-4C84-A972-EDFC82B7D5A6}" xr6:coauthVersionLast="47" xr6:coauthVersionMax="47" xr10:uidLastSave="{B2D78896-8017-4683-9BCF-93FC071929C6}"/>
  <bookViews>
    <workbookView xWindow="-120" yWindow="-120" windowWidth="20730" windowHeight="11160" xr2:uid="{7C22284D-F60F-41F9-8E48-D970F69E8573}"/>
  </bookViews>
  <sheets>
    <sheet name="customer_analysis" sheetId="1" r:id="rId1"/>
    <sheet name="Sheet2" sheetId="18" r:id="rId2"/>
    <sheet name="Detail1" sheetId="17" r:id="rId3"/>
    <sheet name="TOP10" sheetId="16" r:id="rId4"/>
    <sheet name="sales" sheetId="8" r:id="rId5"/>
    <sheet name="regression" sheetId="5" r:id="rId6"/>
    <sheet name="statastics" sheetId="6" r:id="rId7"/>
    <sheet name="task 5" sheetId="7" r:id="rId8"/>
    <sheet name="task 8" sheetId="9" r:id="rId9"/>
    <sheet name="PRODUCT CATEGORY" sheetId="12" r:id="rId10"/>
    <sheet name="dashboard" sheetId="13" r:id="rId11"/>
  </sheets>
  <definedNames>
    <definedName name="_xlnm._FilterDatabase" localSheetId="0" hidden="1">customer_analysis!$A$1:$K$202</definedName>
    <definedName name="Slicer_Customer_ID">#N/A</definedName>
    <definedName name="Slicer_Region">#N/A</definedName>
    <definedName name="Slicer_Years__Order_Date">#N/A</definedName>
  </definedNames>
  <calcPr calcId="191029"/>
  <pivotCaches>
    <pivotCache cacheId="6" r:id="rId12"/>
    <pivotCache cacheId="5"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3" l="1"/>
  <c r="E5" i="13"/>
  <c r="M36" i="1"/>
  <c r="K8" i="1"/>
  <c r="L197" i="1"/>
  <c r="L194" i="1"/>
  <c r="L187" i="1"/>
  <c r="L176" i="1"/>
  <c r="L169" i="1"/>
  <c r="L162" i="1"/>
  <c r="L160" i="1"/>
  <c r="L157" i="1"/>
  <c r="L148" i="1"/>
  <c r="L146" i="1"/>
  <c r="L143" i="1"/>
  <c r="L142" i="1"/>
  <c r="L141" i="1"/>
  <c r="L132" i="1"/>
  <c r="L129" i="1"/>
  <c r="L128" i="1"/>
  <c r="L126" i="1"/>
  <c r="L118" i="1"/>
  <c r="L111" i="1"/>
  <c r="L109" i="1"/>
  <c r="L106" i="1"/>
  <c r="L99" i="1"/>
  <c r="L91" i="1"/>
  <c r="L89" i="1"/>
  <c r="L87" i="1"/>
  <c r="L81" i="1"/>
  <c r="L78" i="1"/>
  <c r="L77" i="1"/>
  <c r="L76" i="1"/>
  <c r="L69" i="1"/>
  <c r="L62" i="1"/>
  <c r="L61" i="1"/>
  <c r="L60" i="1"/>
  <c r="L53" i="1"/>
  <c r="L48" i="1"/>
  <c r="L46" i="1"/>
  <c r="L39" i="1"/>
  <c r="L36" i="1"/>
  <c r="L32" i="1"/>
  <c r="L20" i="1"/>
  <c r="L17" i="1"/>
  <c r="L13" i="1"/>
  <c r="L12" i="1"/>
  <c r="L8" i="1"/>
  <c r="J197" i="1"/>
  <c r="J194" i="1"/>
  <c r="J187" i="1"/>
  <c r="J176" i="1"/>
  <c r="J169" i="1"/>
  <c r="J162" i="1"/>
  <c r="J160" i="1"/>
  <c r="J157" i="1"/>
  <c r="J148" i="1"/>
  <c r="J146" i="1"/>
  <c r="J143" i="1"/>
  <c r="J142" i="1"/>
  <c r="K148" i="1" s="1"/>
  <c r="J141" i="1"/>
  <c r="J132" i="1"/>
  <c r="J129" i="1"/>
  <c r="J128" i="1"/>
  <c r="J126" i="1"/>
  <c r="K132" i="1" s="1"/>
  <c r="J118" i="1"/>
  <c r="J111" i="1"/>
  <c r="J109" i="1"/>
  <c r="J106" i="1"/>
  <c r="J99" i="1"/>
  <c r="J91" i="1"/>
  <c r="J89" i="1"/>
  <c r="J87" i="1"/>
  <c r="J81" i="1"/>
  <c r="K87" i="1" s="1"/>
  <c r="J78" i="1"/>
  <c r="J77" i="1"/>
  <c r="J76" i="1"/>
  <c r="J69" i="1"/>
  <c r="J62" i="1"/>
  <c r="J61" i="1"/>
  <c r="J60" i="1"/>
  <c r="J53" i="1"/>
  <c r="J48" i="1"/>
  <c r="J46" i="1"/>
  <c r="J39" i="1"/>
  <c r="J36" i="1"/>
  <c r="J32" i="1"/>
  <c r="J20" i="1"/>
  <c r="J17" i="1"/>
  <c r="J13" i="1"/>
  <c r="J12" i="1"/>
  <c r="J8" i="1"/>
  <c r="E6" i="8"/>
  <c r="M17" i="1"/>
  <c r="O3" i="1"/>
  <c r="M6" i="1" l="1"/>
  <c r="J2" i="1"/>
  <c r="J3" i="1"/>
  <c r="K3" i="1" s="1"/>
  <c r="J4" i="1"/>
  <c r="K4" i="1" s="1"/>
  <c r="J5" i="1"/>
  <c r="K5" i="1" s="1"/>
  <c r="J6" i="1"/>
  <c r="J7" i="1"/>
  <c r="J9" i="1"/>
  <c r="K9" i="1" s="1"/>
  <c r="J10" i="1"/>
  <c r="K10" i="1" s="1"/>
  <c r="J11" i="1"/>
  <c r="J14" i="1"/>
  <c r="J15" i="1"/>
  <c r="K15" i="1" s="1"/>
  <c r="J16" i="1"/>
  <c r="K16" i="1" s="1"/>
  <c r="J18" i="1"/>
  <c r="K18" i="1" s="1"/>
  <c r="J19" i="1"/>
  <c r="K19" i="1" s="1"/>
  <c r="J21" i="1"/>
  <c r="K21" i="1" s="1"/>
  <c r="J22" i="1"/>
  <c r="K22" i="1" s="1"/>
  <c r="J23" i="1"/>
  <c r="K23" i="1" s="1"/>
  <c r="J24" i="1"/>
  <c r="K24" i="1" s="1"/>
  <c r="J25" i="1"/>
  <c r="K25" i="1" s="1"/>
  <c r="J26" i="1"/>
  <c r="J27" i="1"/>
  <c r="K27" i="1" s="1"/>
  <c r="J28" i="1"/>
  <c r="K28" i="1" s="1"/>
  <c r="J29" i="1"/>
  <c r="K29" i="1" s="1"/>
  <c r="J30" i="1"/>
  <c r="J31" i="1"/>
  <c r="K31" i="1" s="1"/>
  <c r="J33" i="1"/>
  <c r="J34" i="1"/>
  <c r="K34" i="1" s="1"/>
  <c r="J35" i="1"/>
  <c r="K35" i="1" s="1"/>
  <c r="J37" i="1"/>
  <c r="K37" i="1" s="1"/>
  <c r="J38" i="1"/>
  <c r="K38" i="1" s="1"/>
  <c r="J40" i="1"/>
  <c r="J41" i="1"/>
  <c r="K41" i="1" s="1"/>
  <c r="J42" i="1"/>
  <c r="J43" i="1"/>
  <c r="K43" i="1" s="1"/>
  <c r="J44" i="1"/>
  <c r="K44" i="1" s="1"/>
  <c r="J45" i="1"/>
  <c r="K45" i="1" s="1"/>
  <c r="J47" i="1"/>
  <c r="J49" i="1"/>
  <c r="K49" i="1" s="1"/>
  <c r="J50" i="1"/>
  <c r="K50" i="1" s="1"/>
  <c r="J51" i="1"/>
  <c r="K51" i="1" s="1"/>
  <c r="J52" i="1"/>
  <c r="K52" i="1" s="1"/>
  <c r="J54" i="1"/>
  <c r="J55" i="1"/>
  <c r="J56" i="1"/>
  <c r="J57" i="1"/>
  <c r="K57" i="1" s="1"/>
  <c r="J58" i="1"/>
  <c r="K58" i="1" s="1"/>
  <c r="J59" i="1"/>
  <c r="K59" i="1" s="1"/>
  <c r="J63" i="1"/>
  <c r="J64" i="1"/>
  <c r="K64" i="1" s="1"/>
  <c r="J65" i="1"/>
  <c r="K65" i="1" s="1"/>
  <c r="J66" i="1"/>
  <c r="K66" i="1" s="1"/>
  <c r="J67" i="1"/>
  <c r="K67" i="1" s="1"/>
  <c r="J68" i="1"/>
  <c r="K68" i="1" s="1"/>
  <c r="J70" i="1"/>
  <c r="J71" i="1"/>
  <c r="J72" i="1"/>
  <c r="J73" i="1"/>
  <c r="K73" i="1" s="1"/>
  <c r="J74" i="1"/>
  <c r="K74" i="1" s="1"/>
  <c r="J75" i="1"/>
  <c r="J79" i="1"/>
  <c r="K79" i="1" s="1"/>
  <c r="J80" i="1"/>
  <c r="K80" i="1" s="1"/>
  <c r="J82" i="1"/>
  <c r="K82" i="1" s="1"/>
  <c r="J83" i="1"/>
  <c r="J84" i="1"/>
  <c r="K84" i="1" s="1"/>
  <c r="J85" i="1"/>
  <c r="J86" i="1"/>
  <c r="K86" i="1" s="1"/>
  <c r="J88" i="1"/>
  <c r="K88" i="1" s="1"/>
  <c r="J90" i="1"/>
  <c r="K90" i="1" s="1"/>
  <c r="J92" i="1"/>
  <c r="K92" i="1" s="1"/>
  <c r="J93" i="1"/>
  <c r="J94" i="1"/>
  <c r="K94" i="1" s="1"/>
  <c r="J95" i="1"/>
  <c r="K95" i="1" s="1"/>
  <c r="J96" i="1"/>
  <c r="K96" i="1" s="1"/>
  <c r="J97" i="1"/>
  <c r="K97" i="1" s="1"/>
  <c r="J98" i="1"/>
  <c r="K98" i="1" s="1"/>
  <c r="J100" i="1"/>
  <c r="J101" i="1"/>
  <c r="K101" i="1" s="1"/>
  <c r="J102" i="1"/>
  <c r="K102" i="1" s="1"/>
  <c r="J103" i="1"/>
  <c r="J104" i="1"/>
  <c r="K104" i="1" s="1"/>
  <c r="J105" i="1"/>
  <c r="J107" i="1"/>
  <c r="K107" i="1" s="1"/>
  <c r="J108" i="1"/>
  <c r="K108" i="1" s="1"/>
  <c r="J110" i="1"/>
  <c r="K110" i="1" s="1"/>
  <c r="J112" i="1"/>
  <c r="J113" i="1"/>
  <c r="K113" i="1" s="1"/>
  <c r="J114" i="1"/>
  <c r="K114" i="1" s="1"/>
  <c r="J115" i="1"/>
  <c r="K115" i="1" s="1"/>
  <c r="J116" i="1"/>
  <c r="K116" i="1" s="1"/>
  <c r="J117" i="1"/>
  <c r="K117" i="1" s="1"/>
  <c r="J119" i="1"/>
  <c r="K119" i="1" s="1"/>
  <c r="J120" i="1"/>
  <c r="J121" i="1"/>
  <c r="K121" i="1" s="1"/>
  <c r="J122" i="1"/>
  <c r="J123" i="1"/>
  <c r="J124" i="1"/>
  <c r="K124" i="1" s="1"/>
  <c r="J125" i="1"/>
  <c r="K125" i="1" s="1"/>
  <c r="J127" i="1"/>
  <c r="K127" i="1" s="1"/>
  <c r="J130" i="1"/>
  <c r="K130" i="1" s="1"/>
  <c r="J131" i="1"/>
  <c r="K131" i="1" s="1"/>
  <c r="J133" i="1"/>
  <c r="K133" i="1" s="1"/>
  <c r="J134" i="1"/>
  <c r="K134" i="1" s="1"/>
  <c r="J135" i="1"/>
  <c r="J136" i="1"/>
  <c r="J137" i="1"/>
  <c r="J138" i="1"/>
  <c r="K138" i="1" s="1"/>
  <c r="J139" i="1"/>
  <c r="K139" i="1" s="1"/>
  <c r="J140" i="1"/>
  <c r="J144" i="1"/>
  <c r="K144" i="1" s="1"/>
  <c r="J145" i="1"/>
  <c r="K145" i="1" s="1"/>
  <c r="J147" i="1"/>
  <c r="K147" i="1" s="1"/>
  <c r="J149" i="1"/>
  <c r="K149" i="1" s="1"/>
  <c r="J150" i="1"/>
  <c r="K150" i="1" s="1"/>
  <c r="J151" i="1"/>
  <c r="J152" i="1"/>
  <c r="K152" i="1" s="1"/>
  <c r="J153" i="1"/>
  <c r="K153" i="1" s="1"/>
  <c r="J154" i="1"/>
  <c r="J155" i="1"/>
  <c r="K155" i="1" s="1"/>
  <c r="J156" i="1"/>
  <c r="J158" i="1"/>
  <c r="K158" i="1" s="1"/>
  <c r="J159" i="1"/>
  <c r="K159" i="1" s="1"/>
  <c r="J161" i="1"/>
  <c r="K161" i="1" s="1"/>
  <c r="J163" i="1"/>
  <c r="J164" i="1"/>
  <c r="K164" i="1" s="1"/>
  <c r="J165" i="1"/>
  <c r="K165" i="1" s="1"/>
  <c r="J166" i="1"/>
  <c r="K166" i="1" s="1"/>
  <c r="J167" i="1"/>
  <c r="K167" i="1" s="1"/>
  <c r="J168" i="1"/>
  <c r="K168" i="1" s="1"/>
  <c r="J170" i="1"/>
  <c r="J171" i="1"/>
  <c r="K171" i="1" s="1"/>
  <c r="J172" i="1"/>
  <c r="K172" i="1" s="1"/>
  <c r="J173" i="1"/>
  <c r="K173" i="1" s="1"/>
  <c r="J174" i="1"/>
  <c r="K174" i="1" s="1"/>
  <c r="J175" i="1"/>
  <c r="K175" i="1" s="1"/>
  <c r="J177" i="1"/>
  <c r="K177" i="1" s="1"/>
  <c r="J178" i="1"/>
  <c r="K178" i="1" s="1"/>
  <c r="J179" i="1"/>
  <c r="K179" i="1" s="1"/>
  <c r="J180" i="1"/>
  <c r="K180" i="1" s="1"/>
  <c r="J181" i="1"/>
  <c r="J182" i="1"/>
  <c r="K182" i="1" s="1"/>
  <c r="J183" i="1"/>
  <c r="K183" i="1" s="1"/>
  <c r="J184" i="1"/>
  <c r="K184" i="1" s="1"/>
  <c r="J185" i="1"/>
  <c r="K185" i="1" s="1"/>
  <c r="J186" i="1"/>
  <c r="K186" i="1" s="1"/>
  <c r="J188" i="1"/>
  <c r="J189" i="1"/>
  <c r="K189" i="1" s="1"/>
  <c r="J190" i="1"/>
  <c r="K190" i="1" s="1"/>
  <c r="J191" i="1"/>
  <c r="J192" i="1"/>
  <c r="K192" i="1" s="1"/>
  <c r="J193" i="1"/>
  <c r="K193" i="1" s="1"/>
  <c r="J195" i="1"/>
  <c r="K195" i="1" s="1"/>
  <c r="J196" i="1"/>
  <c r="K196" i="1" s="1"/>
  <c r="J198" i="1"/>
  <c r="K198" i="1" s="1"/>
  <c r="J199" i="1"/>
  <c r="K199" i="1" s="1"/>
  <c r="J200" i="1"/>
  <c r="K200" i="1" s="1"/>
  <c r="J201" i="1"/>
  <c r="K201" i="1" s="1"/>
  <c r="J202" i="1"/>
  <c r="K181" i="1" l="1"/>
  <c r="K187" i="1"/>
  <c r="K156" i="1"/>
  <c r="K162" i="1"/>
  <c r="K123" i="1"/>
  <c r="K129" i="1"/>
  <c r="K75" i="1"/>
  <c r="K81" i="1"/>
  <c r="K71" i="1"/>
  <c r="K77" i="1"/>
  <c r="K40" i="1"/>
  <c r="K46" i="1"/>
  <c r="K151" i="1"/>
  <c r="K157" i="1"/>
  <c r="K122" i="1"/>
  <c r="K128" i="1"/>
  <c r="K93" i="1"/>
  <c r="K99" i="1"/>
  <c r="K70" i="1"/>
  <c r="K76" i="1"/>
  <c r="K54" i="1"/>
  <c r="K60" i="1"/>
  <c r="K33" i="1"/>
  <c r="K39" i="1"/>
  <c r="K14" i="1"/>
  <c r="K20" i="1"/>
  <c r="K7" i="1"/>
  <c r="K13" i="1"/>
  <c r="K83" i="1"/>
  <c r="K89" i="1"/>
  <c r="K55" i="1"/>
  <c r="K61" i="1"/>
  <c r="K188" i="1"/>
  <c r="K194" i="1"/>
  <c r="K170" i="1"/>
  <c r="K176" i="1"/>
  <c r="K154" i="1"/>
  <c r="K160" i="1"/>
  <c r="K137" i="1"/>
  <c r="K143" i="1"/>
  <c r="K112" i="1"/>
  <c r="K118" i="1"/>
  <c r="K105" i="1"/>
  <c r="K111" i="1"/>
  <c r="K85" i="1"/>
  <c r="K91" i="1"/>
  <c r="K47" i="1"/>
  <c r="K53" i="1"/>
  <c r="K42" i="1"/>
  <c r="K48" i="1"/>
  <c r="K11" i="1"/>
  <c r="K17" i="1"/>
  <c r="K6" i="1"/>
  <c r="K12" i="1"/>
  <c r="K2" i="1"/>
  <c r="O6" i="1"/>
  <c r="K163" i="1"/>
  <c r="K169" i="1"/>
  <c r="K135" i="1"/>
  <c r="K141" i="1"/>
  <c r="K103" i="1"/>
  <c r="K109" i="1"/>
  <c r="K191" i="1"/>
  <c r="K197" i="1"/>
  <c r="K140" i="1"/>
  <c r="K146" i="1"/>
  <c r="K136" i="1"/>
  <c r="K142" i="1"/>
  <c r="K120" i="1"/>
  <c r="K126" i="1"/>
  <c r="K100" i="1"/>
  <c r="K106" i="1"/>
  <c r="K72" i="1"/>
  <c r="K78" i="1"/>
  <c r="K63" i="1"/>
  <c r="K69" i="1"/>
  <c r="K56" i="1"/>
  <c r="K62" i="1"/>
  <c r="K30" i="1"/>
  <c r="K36" i="1"/>
  <c r="K26" i="1"/>
  <c r="K32" i="1"/>
</calcChain>
</file>

<file path=xl/sharedStrings.xml><?xml version="1.0" encoding="utf-8"?>
<sst xmlns="http://schemas.openxmlformats.org/spreadsheetml/2006/main" count="1756" uniqueCount="149">
  <si>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</si>
  <si>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</si>
  <si>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</si>
  <si>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</si>
  <si>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</si>
  <si>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</si>
  <si>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</si>
  <si>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</si>
  <si>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</si>
  <si>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</si>
  <si>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</si>
  <si>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</si>
  <si>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</si>
  <si>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</si>
  <si>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</si>
  <si>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</si>
  <si>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</si>
  <si>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</si>
  <si>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</si>
  <si>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</si>
  <si>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</si>
  <si>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</si>
  <si>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</si>
  <si>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</si>
  <si>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</si>
  <si>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</si>
  <si>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</si>
  <si>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</si>
  <si>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</si>
  <si>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</si>
  <si>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</si>
  <si>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</si>
  <si>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</si>
  <si>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</si>
  <si>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</si>
  <si>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</si>
  <si>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</si>
  <si>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</si>
  <si>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</si>
  <si>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</si>
  <si>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</si>
  <si>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</si>
  <si>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</si>
  <si>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</si>
  <si>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</si>
  <si>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</si>
  <si>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</si>
  <si>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</si>
  <si>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</si>
  <si>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</si>
  <si>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</si>
  <si>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</si>
  <si>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</si>
  <si>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</si>
  <si>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</si>
  <si>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</si>
  <si>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</si>
  <si>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</si>
  <si>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</si>
  <si>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</si>
  <si>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</si>
  <si>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</si>
  <si>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</si>
  <si>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</si>
  <si>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</si>
  <si>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</si>
  <si>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</si>
  <si>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</si>
  <si>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</si>
  <si>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</si>
  <si>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</si>
  <si>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</si>
  <si>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</si>
  <si>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</si>
  <si>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</si>
  <si>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</si>
  <si>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New discount</t>
  </si>
  <si>
    <t>estimated_profit</t>
  </si>
  <si>
    <t>total profit</t>
  </si>
  <si>
    <t>estimated total profit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</si>
  <si>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</si>
  <si>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</si>
  <si>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</si>
  <si>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</si>
  <si>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</si>
  <si>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</si>
  <si>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</si>
  <si>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</si>
  <si>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</si>
  <si>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</si>
  <si>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</si>
  <si>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</si>
  <si>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</si>
  <si>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</si>
  <si>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</si>
  <si>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</si>
  <si>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</si>
  <si>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</si>
  <si>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</si>
  <si>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</si>
  <si>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</si>
  <si>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</si>
  <si>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</si>
  <si>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</si>
  <si>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Mean</t>
  </si>
  <si>
    <t>Median</t>
  </si>
  <si>
    <t>Mode</t>
  </si>
  <si>
    <t>Standard Deviation</t>
  </si>
  <si>
    <t>Sample Variance</t>
  </si>
  <si>
    <t>Kurtosis</t>
  </si>
  <si>
    <t>Skewness</t>
  </si>
  <si>
    <t>Range</t>
  </si>
  <si>
    <t>Minimum</t>
  </si>
  <si>
    <t>Maximum</t>
  </si>
  <si>
    <t>Sum</t>
  </si>
  <si>
    <t>Count</t>
  </si>
  <si>
    <t>Row Labels</t>
  </si>
  <si>
    <t>(blank)</t>
  </si>
  <si>
    <t>Grand Total</t>
  </si>
  <si>
    <t>&lt;10-04-2024</t>
  </si>
  <si>
    <t>2024</t>
  </si>
  <si>
    <t>2025</t>
  </si>
  <si>
    <t>Sum of Sales</t>
  </si>
  <si>
    <t>Apr</t>
  </si>
  <si>
    <t>May</t>
  </si>
  <si>
    <t>Jun</t>
  </si>
  <si>
    <t>Jul</t>
  </si>
  <si>
    <t>Aug</t>
  </si>
  <si>
    <t>Sep</t>
  </si>
  <si>
    <t>Oct</t>
  </si>
  <si>
    <t>Nov</t>
  </si>
  <si>
    <t>Dec</t>
  </si>
  <si>
    <t>Jan</t>
  </si>
  <si>
    <t>Feb</t>
  </si>
  <si>
    <t>Mar</t>
  </si>
  <si>
    <t>last_update</t>
  </si>
  <si>
    <t>Column Labels</t>
  </si>
  <si>
    <t>task 8--pivot table : sales by region and product</t>
  </si>
  <si>
    <t>task5: monthly sales analysis</t>
  </si>
  <si>
    <t>TIME STAMP</t>
  </si>
  <si>
    <t>TOTAL</t>
  </si>
  <si>
    <t>Details for Sum of Sales</t>
  </si>
  <si>
    <t>(All)</t>
  </si>
  <si>
    <t xml:space="preserve">                         SALES ANALYTICS DASHBOARD                                 </t>
  </si>
  <si>
    <t>TOTAL SALES</t>
  </si>
  <si>
    <t>TOTAL PROFIT</t>
  </si>
  <si>
    <t>TOTAL ORDERS</t>
  </si>
  <si>
    <t>TOTAL QUANTITY</t>
  </si>
  <si>
    <t xml:space="preserve">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</si>
</sst>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b/>
      <sz val="11"/>
      <color theme="1"/>
      <name val="Calibri"/>
      <family val="2"/>
    </font>
    <font>
      <sz val="11"/>
      <color theme="1"/>
      <name val="Calibri"/>
      <family val="2"/>
    </font>
    <font>
      <b/>
      <sz val="11"/>
      <color theme="3" tint="0.499984740745262"/>
      <name val="Aptos Narrow"/>
      <family val="2"/>
      <scheme val="minor"/>
    </font>
    <font>
      <sz val="11"/>
      <color theme="3" tint="0.499984740745262"/>
      <name val="Aptos Narrow"/>
      <family val="2"/>
      <scheme val="minor"/>
    </font>
    <font>
      <i/>
      <sz val="11"/>
      <color theme="1"/>
      <name val="Aptos Narrow"/>
      <family val="2"/>
      <scheme val="minor"/>
    </font>
    <font>
      <b/>
      <i/>
      <sz val="11"/>
      <color theme="1"/>
      <name val="Aptos Narrow"/>
      <family val="2"/>
      <scheme val="minor"/>
    </font>
    <font>
      <b/>
      <sz val="24"/>
      <color theme="1"/>
      <name val="Aptos Narrow"/>
      <family val="2"/>
      <scheme val="minor"/>
    </font>
    <font>
      <sz val="11"/>
      <color theme="5" tint="0.59999389629810485"/>
      <name val="Aptos Narrow"/>
      <family val="2"/>
      <scheme val="minor"/>
    </font>
    <font>
      <sz val="10"/>
      <color theme="1"/>
      <name val="Arial Unicode MS"/>
    </font>
    <font>
      <sz val="14"/>
      <color theme="1"/>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3" tint="0.89999084444715716"/>
        <bgColor indexed="64"/>
      </patternFill>
    </fill>
    <fill>
      <patternFill patternType="solid">
        <fgColor theme="2" tint="-0.249977111117893"/>
        <bgColor indexed="64"/>
      </patternFill>
    </fill>
  </fills>
  <borders count="16">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5">
    <xf numFmtId="0" fontId="0" fillId="0" borderId="0" xfId="0"/>
    <xf numFmtId="0" fontId="2" fillId="0" borderId="1" xfId="0" applyFont="1" applyBorder="1" applyAlignment="1">
      <alignment wrapText="1"/>
    </xf>
    <xf numFmtId="0" fontId="3" fillId="0" borderId="1" xfId="0" applyFont="1" applyBorder="1" applyAlignment="1">
      <alignment wrapText="1"/>
    </xf>
    <xf numFmtId="0" fontId="3" fillId="0" borderId="1" xfId="0" applyFont="1" applyBorder="1" applyAlignment="1">
      <alignment horizontal="right" wrapText="1"/>
    </xf>
    <xf numFmtId="14" fontId="3" fillId="0" borderId="1" xfId="0" applyNumberFormat="1" applyFont="1" applyBorder="1" applyAlignment="1">
      <alignment horizontal="right" wrapText="1"/>
    </xf>
    <xf numFmtId="0" fontId="2" fillId="0" borderId="2" xfId="0" applyFont="1" applyBorder="1" applyAlignment="1">
      <alignment wrapText="1"/>
    </xf>
    <xf numFmtId="0" fontId="1" fillId="0" borderId="0" xfId="0" applyFont="1"/>
    <xf numFmtId="0" fontId="4" fillId="0" borderId="4" xfId="0" applyFont="1" applyBorder="1"/>
    <xf numFmtId="0" fontId="5" fillId="0" borderId="4" xfId="0" applyFont="1" applyBorder="1"/>
    <xf numFmtId="0" fontId="0" fillId="0" borderId="4" xfId="0" applyBorder="1"/>
    <xf numFmtId="0" fontId="4" fillId="0" borderId="6" xfId="0" applyFont="1" applyBorder="1"/>
    <xf numFmtId="0" fontId="0" fillId="0" borderId="6" xfId="0" applyBorder="1"/>
    <xf numFmtId="0" fontId="5" fillId="0" borderId="0" xfId="0" applyFont="1"/>
    <xf numFmtId="0" fontId="0" fillId="0" borderId="3" xfId="0" applyBorder="1"/>
    <xf numFmtId="0" fontId="7" fillId="0" borderId="7" xfId="0" applyFont="1" applyBorder="1" applyAlignment="1">
      <alignment horizontal="centerContinuous"/>
    </xf>
    <xf numFmtId="0" fontId="7" fillId="0" borderId="4" xfId="0" applyFont="1" applyBorder="1" applyAlignment="1">
      <alignment horizontal="centerContinuous"/>
    </xf>
    <xf numFmtId="0" fontId="6" fillId="0" borderId="4" xfId="0" applyFont="1" applyBorder="1" applyAlignment="1">
      <alignment horizontal="centerContinuous"/>
    </xf>
    <xf numFmtId="0" fontId="1" fillId="0" borderId="4" xfId="0" applyFont="1" applyBorder="1"/>
    <xf numFmtId="0" fontId="6" fillId="0" borderId="4" xfId="0" applyFont="1" applyBorder="1" applyAlignment="1">
      <alignment horizontal="center"/>
    </xf>
    <xf numFmtId="0" fontId="7" fillId="0" borderId="4" xfId="0" applyFont="1" applyBorder="1" applyAlignment="1">
      <alignment horizontal="center"/>
    </xf>
    <xf numFmtId="0" fontId="0" fillId="0" borderId="5" xfId="0" applyBorder="1"/>
    <xf numFmtId="0" fontId="0" fillId="0" borderId="0" xfId="0" pivotButton="1"/>
    <xf numFmtId="0" fontId="0" fillId="0" borderId="0" xfId="0" applyAlignment="1">
      <alignment horizontal="left"/>
    </xf>
    <xf numFmtId="0" fontId="0" fillId="0" borderId="0" xfId="0" applyAlignment="1">
      <alignment horizontal="left" indent="1"/>
    </xf>
    <xf numFmtId="22" fontId="0" fillId="0" borderId="0" xfId="0" applyNumberFormat="1"/>
    <xf numFmtId="0" fontId="2" fillId="0" borderId="4" xfId="0" applyFont="1" applyBorder="1" applyAlignment="1">
      <alignment wrapText="1"/>
    </xf>
    <xf numFmtId="22" fontId="0" fillId="0" borderId="4" xfId="0" applyNumberFormat="1" applyBorder="1"/>
    <xf numFmtId="0" fontId="9" fillId="0" borderId="0" xfId="0" applyFont="1"/>
    <xf numFmtId="0" fontId="0" fillId="0" borderId="0" xfId="0" applyNumberFormat="1"/>
    <xf numFmtId="14" fontId="0" fillId="0" borderId="0" xfId="0" applyNumberFormat="1"/>
    <xf numFmtId="0" fontId="0" fillId="3" borderId="0" xfId="0" applyFill="1"/>
    <xf numFmtId="0" fontId="0" fillId="3" borderId="0" xfId="0" applyNumberFormat="1" applyFill="1"/>
    <xf numFmtId="2" fontId="0" fillId="0" borderId="0" xfId="0" applyNumberFormat="1"/>
    <xf numFmtId="0" fontId="8" fillId="2" borderId="0" xfId="0" applyFont="1" applyFill="1" applyAlignment="1"/>
    <xf numFmtId="0" fontId="0" fillId="0" borderId="0" xfId="0" applyAlignment="1"/>
    <xf numFmtId="0" fontId="10" fillId="0" borderId="0" xfId="0" applyFont="1" applyAlignment="1"/>
    <xf numFmtId="0" fontId="11" fillId="4" borderId="8" xfId="0" applyFont="1" applyFill="1" applyBorder="1" applyAlignment="1"/>
    <xf numFmtId="0" fontId="11" fillId="0" borderId="13" xfId="0" applyFont="1" applyBorder="1" applyAlignment="1"/>
    <xf numFmtId="0" fontId="11" fillId="4" borderId="10" xfId="0" applyFont="1" applyFill="1" applyBorder="1" applyAlignment="1"/>
    <xf numFmtId="0" fontId="11" fillId="0" borderId="9" xfId="0" applyFont="1" applyBorder="1" applyAlignment="1"/>
    <xf numFmtId="0" fontId="11" fillId="0" borderId="15" xfId="0" applyFont="1" applyBorder="1" applyAlignment="1"/>
    <xf numFmtId="0" fontId="11" fillId="0" borderId="11" xfId="0" applyFont="1" applyBorder="1" applyAlignment="1"/>
    <xf numFmtId="0" fontId="11" fillId="0" borderId="0" xfId="0" applyFont="1" applyAlignment="1"/>
    <xf numFmtId="0" fontId="11" fillId="0" borderId="12" xfId="0" applyFont="1" applyBorder="1" applyAlignment="1"/>
    <xf numFmtId="0" fontId="11" fillId="0" borderId="14" xfId="0" applyFont="1" applyBorder="1" applyAlignment="1"/>
  </cellXfs>
  <cellStyles count="1">
    <cellStyle name="Normal" xfId="0" builtinId="0"/>
  </cellStyles>
  <dxfs count="13">
    <dxf>
      <fill>
        <patternFill patternType="solid">
          <bgColor theme="3" tint="0.89999084444715716"/>
        </patternFill>
      </fill>
    </dxf>
    <dxf>
      <fill>
        <patternFill patternType="solid">
          <bgColor theme="3" tint="0.89999084444715716"/>
        </patternFill>
      </fill>
    </dxf>
    <dxf>
      <numFmt numFmtId="19" formatCode="dd/mm/yyyy"/>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9" formatCode="dd/mm/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[PR.2.xlsx]sales!PivotTable2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sales!$B$3</c:f>
              <c:strCache>
                <c:ptCount val="1"/>
                <c:pt idx="0">
                  <c:v>Total</c:v>
                </c:pt>
              </c:strCache>
            </c:strRef>
          </c:tx>
          <c:spPr>
            <a:solidFill>
              <a:schemeClr val="accent1"/>
            </a:solidFill>
            <a:ln>
              <a:noFill/>
            </a:ln>
            <a:effectLst/>
          </c:spPr>
          <c:invertIfNegative val="0"/>
          <c:cat>
            <c:multiLvlStrRef>
              <c:f>sales!$A$4:$A$22</c:f>
              <c:multiLvlStrCache>
                <c:ptCount val="15"/>
                <c:lvl>
                  <c:pt idx="0">
                    <c:v>David Smith</c:v>
                  </c:pt>
                  <c:pt idx="1">
                    <c:v>Linda Taylor</c:v>
                  </c:pt>
                  <c:pt idx="2">
                    <c:v>Lisa Davis</c:v>
                  </c:pt>
                  <c:pt idx="3">
                    <c:v>Robert Anderson</c:v>
                  </c:pt>
                  <c:pt idx="4">
                    <c:v>Sarah Anderson</c:v>
                  </c:pt>
                  <c:pt idx="5">
                    <c:v>David Anderson</c:v>
                  </c:pt>
                  <c:pt idx="6">
                    <c:v>Mary Jackson</c:v>
                  </c:pt>
                  <c:pt idx="7">
                    <c:v>David Brown</c:v>
                  </c:pt>
                  <c:pt idx="8">
                    <c:v>Emma Davis</c:v>
                  </c:pt>
                  <c:pt idx="9">
                    <c:v>Emma Taylor</c:v>
                  </c:pt>
                  <c:pt idx="10">
                    <c:v>James Davis</c:v>
                  </c:pt>
                  <c:pt idx="11">
                    <c:v>Linda Jackson</c:v>
                  </c:pt>
                  <c:pt idx="12">
                    <c:v>Lisa Davis</c:v>
                  </c:pt>
                  <c:pt idx="13">
                    <c:v>Michael Anderson</c:v>
                  </c:pt>
                  <c:pt idx="14">
                    <c:v>Robert Anderson</c:v>
                  </c:pt>
                </c:lvl>
                <c:lvl>
                  <c:pt idx="0">
                    <c:v>CUST005</c:v>
                  </c:pt>
                  <c:pt idx="5">
                    <c:v>CUST006</c:v>
                  </c:pt>
                  <c:pt idx="7">
                    <c:v>CUST007</c:v>
                  </c:pt>
                </c:lvl>
              </c:multiLvlStrCache>
            </c:multiLvlStrRef>
          </c:cat>
          <c:val>
            <c:numRef>
              <c:f>sales!$B$4:$B$22</c:f>
              <c:numCache>
                <c:formatCode>General</c:formatCode>
                <c:ptCount val="15"/>
                <c:pt idx="0">
                  <c:v>1151.21</c:v>
                </c:pt>
                <c:pt idx="1">
                  <c:v>1261.3399999999999</c:v>
                </c:pt>
                <c:pt idx="2">
                  <c:v>1070.68</c:v>
                </c:pt>
                <c:pt idx="3">
                  <c:v>1679.9699999999998</c:v>
                </c:pt>
                <c:pt idx="4">
                  <c:v>1502.93</c:v>
                </c:pt>
                <c:pt idx="5">
                  <c:v>1193.6099999999999</c:v>
                </c:pt>
                <c:pt idx="6">
                  <c:v>1506.14</c:v>
                </c:pt>
                <c:pt idx="7">
                  <c:v>2173.1999999999998</c:v>
                </c:pt>
                <c:pt idx="8">
                  <c:v>833.91</c:v>
                </c:pt>
                <c:pt idx="9">
                  <c:v>1101.55</c:v>
                </c:pt>
                <c:pt idx="10">
                  <c:v>762.14</c:v>
                </c:pt>
                <c:pt idx="11">
                  <c:v>1021.47</c:v>
                </c:pt>
                <c:pt idx="12">
                  <c:v>953.3</c:v>
                </c:pt>
                <c:pt idx="13">
                  <c:v>2157.2199999999998</c:v>
                </c:pt>
                <c:pt idx="14">
                  <c:v>939.09</c:v>
                </c:pt>
              </c:numCache>
            </c:numRef>
          </c:val>
          <c:extLst>
            <c:ext xmlns:c16="http://schemas.microsoft.com/office/drawing/2014/chart" uri="{C3380CC4-5D6E-409C-BE32-E72D297353CC}">
              <c16:uniqueId val="{00000000-03BF-49DA-A82A-36AB0C04A464}"/>
            </c:ext>
          </c:extLst>
        </c:ser>
        <c:dLbls>
          <c:showLegendKey val="0"/>
          <c:showVal val="0"/>
          <c:showCatName val="0"/>
          <c:showSerName val="0"/>
          <c:showPercent val="0"/>
          <c:showBubbleSize val="0"/>
        </c:dLbls>
        <c:gapWidth val="219"/>
        <c:overlap val="-27"/>
        <c:axId val="1516113263"/>
        <c:axId val="881146239"/>
      </c:barChart>
      <c:catAx>
        <c:axId val="151611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146239"/>
        <c:crosses val="autoZero"/>
        <c:auto val="1"/>
        <c:lblAlgn val="ctr"/>
        <c:lblOffset val="100"/>
        <c:noMultiLvlLbl val="0"/>
      </c:catAx>
      <c:valAx>
        <c:axId val="881146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113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[PR.2.xlsx]task 5!PivotTable1</c:name>
    <c:fmtId val="1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monthly</a:t>
            </a:r>
            <a:r>
              <a:rPr lang="en-IN" baseline="0"/>
              <a:t> sales trends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5'!$B$3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multiLvlStrRef>
              <c:f>'task 5'!$A$4:$A$20</c:f>
              <c:multiLvlStrCache>
                <c:ptCount val="14"/>
                <c:lvl>
                  <c:pt idx="1">
                    <c:v>Apr</c:v>
                  </c:pt>
                  <c:pt idx="2">
                    <c:v>May</c:v>
                  </c:pt>
                  <c:pt idx="3">
                    <c:v>Jun</c:v>
                  </c:pt>
                  <c:pt idx="4">
                    <c:v>Jul</c:v>
                  </c:pt>
                  <c:pt idx="5">
                    <c:v>Aug</c:v>
                  </c:pt>
                  <c:pt idx="6">
                    <c:v>Sep</c:v>
                  </c:pt>
                  <c:pt idx="7">
                    <c:v>Oct</c:v>
                  </c:pt>
                  <c:pt idx="8">
                    <c:v>Nov</c:v>
                  </c:pt>
                  <c:pt idx="9">
                    <c:v>Dec</c:v>
                  </c:pt>
                  <c:pt idx="10">
                    <c:v>Jan</c:v>
                  </c:pt>
                  <c:pt idx="11">
                    <c:v>Feb</c:v>
                  </c:pt>
                  <c:pt idx="12">
                    <c:v>Mar</c:v>
                  </c:pt>
                  <c:pt idx="13">
                    <c:v>Apr</c:v>
                  </c:pt>
                </c:lvl>
                <c:lvl>
                  <c:pt idx="0">
                    <c:v>&lt;10-04-2024</c:v>
                  </c:pt>
                  <c:pt idx="1">
                    <c:v>2024</c:v>
                  </c:pt>
                  <c:pt idx="10">
                    <c:v>2025</c:v>
                  </c:pt>
                </c:lvl>
              </c:multiLvlStrCache>
            </c:multiLvlStrRef>
          </c:cat>
          <c:val>
            <c:numRef>
              <c:f>'task 5'!$B$4:$B$20</c:f>
              <c:numCache>
                <c:formatCode>General</c:formatCode>
                <c:ptCount val="14"/>
                <c:pt idx="1">
                  <c:v>19029.96</c:v>
                </c:pt>
                <c:pt idx="2">
                  <c:v>18507.339999999997</c:v>
                </c:pt>
                <c:pt idx="3">
                  <c:v>20187.509999999998</c:v>
                </c:pt>
                <c:pt idx="4">
                  <c:v>11609.039999999999</c:v>
                </c:pt>
                <c:pt idx="5">
                  <c:v>10091.699999999999</c:v>
                </c:pt>
                <c:pt idx="6">
                  <c:v>20533.499999999996</c:v>
                </c:pt>
                <c:pt idx="7">
                  <c:v>14215.240000000002</c:v>
                </c:pt>
                <c:pt idx="8">
                  <c:v>20135.030000000002</c:v>
                </c:pt>
                <c:pt idx="9">
                  <c:v>11120.04</c:v>
                </c:pt>
                <c:pt idx="10">
                  <c:v>14914.650000000001</c:v>
                </c:pt>
                <c:pt idx="11">
                  <c:v>14006.359999999999</c:v>
                </c:pt>
                <c:pt idx="12">
                  <c:v>17655.219999999998</c:v>
                </c:pt>
                <c:pt idx="13">
                  <c:v>3212.17</c:v>
                </c:pt>
              </c:numCache>
            </c:numRef>
          </c:val>
          <c:smooth val="0"/>
          <c:extLst>
            <c:ext xmlns:c16="http://schemas.microsoft.com/office/drawing/2014/chart" uri="{C3380CC4-5D6E-409C-BE32-E72D297353CC}">
              <c16:uniqueId val="{00000000-7CBC-4AC0-92D7-39AD6114DE3F}"/>
            </c:ext>
          </c:extLst>
        </c:ser>
        <c:dLbls>
          <c:showLegendKey val="0"/>
          <c:showVal val="0"/>
          <c:showCatName val="0"/>
          <c:showSerName val="0"/>
          <c:showPercent val="0"/>
          <c:showBubbleSize val="0"/>
        </c:dLbls>
        <c:marker val="1"/>
        <c:smooth val="0"/>
        <c:axId val="1459356527"/>
        <c:axId val="881129439"/>
      </c:lineChart>
      <c:catAx>
        <c:axId val="14593565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81129439"/>
        <c:crosses val="autoZero"/>
        <c:auto val="1"/>
        <c:lblAlgn val="ctr"/>
        <c:lblOffset val="100"/>
        <c:noMultiLvlLbl val="0"/>
      </c:catAx>
      <c:valAx>
        <c:axId val="881129439"/>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35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[PR.2.xlsx]task 8!PivotTable3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by region</a:t>
            </a:r>
          </a:p>
          <a:p>
            <a:pPr>
              <a:defRPr/>
            </a:pP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8'!$B$3:$B$4</c:f>
              <c:strCache>
                <c:ptCount val="1"/>
                <c:pt idx="0">
                  <c:v>Books</c:v>
                </c:pt>
              </c:strCache>
            </c:strRef>
          </c:tx>
          <c:spPr>
            <a:solidFill>
              <a:schemeClr val="accent1"/>
            </a:solidFill>
            <a:ln>
              <a:noFill/>
            </a:ln>
            <a:effectLst/>
          </c:spPr>
          <c:invertIfNegative val="0"/>
          <c:cat>
            <c:strRef>
              <c:f>'task 8'!$A$5:$A$10</c:f>
              <c:strCache>
                <c:ptCount val="5"/>
                <c:pt idx="0">
                  <c:v>Central</c:v>
                </c:pt>
                <c:pt idx="1">
                  <c:v>East</c:v>
                </c:pt>
                <c:pt idx="2">
                  <c:v>North</c:v>
                </c:pt>
                <c:pt idx="3">
                  <c:v>South</c:v>
                </c:pt>
                <c:pt idx="4">
                  <c:v>West</c:v>
                </c:pt>
              </c:strCache>
            </c:strRef>
          </c:cat>
          <c:val>
            <c:numRef>
              <c:f>'task 8'!$B$5:$B$10</c:f>
              <c:numCache>
                <c:formatCode>0.00</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169B-45AF-B076-364B3996F233}"/>
            </c:ext>
          </c:extLst>
        </c:ser>
        <c:ser>
          <c:idx val="1"/>
          <c:order val="1"/>
          <c:tx>
            <c:strRef>
              <c:f>'task 8'!$C$3:$C$4</c:f>
              <c:strCache>
                <c:ptCount val="1"/>
                <c:pt idx="0">
                  <c:v>Clothing</c:v>
                </c:pt>
              </c:strCache>
            </c:strRef>
          </c:tx>
          <c:spPr>
            <a:solidFill>
              <a:schemeClr val="accent2"/>
            </a:solidFill>
            <a:ln>
              <a:noFill/>
            </a:ln>
            <a:effectLst/>
          </c:spPr>
          <c:invertIfNegative val="0"/>
          <c:cat>
            <c:strRef>
              <c:f>'task 8'!$A$5:$A$10</c:f>
              <c:strCache>
                <c:ptCount val="5"/>
                <c:pt idx="0">
                  <c:v>Central</c:v>
                </c:pt>
                <c:pt idx="1">
                  <c:v>East</c:v>
                </c:pt>
                <c:pt idx="2">
                  <c:v>North</c:v>
                </c:pt>
                <c:pt idx="3">
                  <c:v>South</c:v>
                </c:pt>
                <c:pt idx="4">
                  <c:v>West</c:v>
                </c:pt>
              </c:strCache>
            </c:strRef>
          </c:cat>
          <c:val>
            <c:numRef>
              <c:f>'task 8'!$C$5:$C$10</c:f>
              <c:numCache>
                <c:formatCode>0.00</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1-169B-45AF-B076-364B3996F233}"/>
            </c:ext>
          </c:extLst>
        </c:ser>
        <c:ser>
          <c:idx val="2"/>
          <c:order val="2"/>
          <c:tx>
            <c:strRef>
              <c:f>'task 8'!$D$3:$D$4</c:f>
              <c:strCache>
                <c:ptCount val="1"/>
                <c:pt idx="0">
                  <c:v>Electronics</c:v>
                </c:pt>
              </c:strCache>
            </c:strRef>
          </c:tx>
          <c:spPr>
            <a:solidFill>
              <a:schemeClr val="accent3"/>
            </a:solidFill>
            <a:ln>
              <a:noFill/>
            </a:ln>
            <a:effectLst/>
          </c:spPr>
          <c:invertIfNegative val="0"/>
          <c:cat>
            <c:strRef>
              <c:f>'task 8'!$A$5:$A$10</c:f>
              <c:strCache>
                <c:ptCount val="5"/>
                <c:pt idx="0">
                  <c:v>Central</c:v>
                </c:pt>
                <c:pt idx="1">
                  <c:v>East</c:v>
                </c:pt>
                <c:pt idx="2">
                  <c:v>North</c:v>
                </c:pt>
                <c:pt idx="3">
                  <c:v>South</c:v>
                </c:pt>
                <c:pt idx="4">
                  <c:v>West</c:v>
                </c:pt>
              </c:strCache>
            </c:strRef>
          </c:cat>
          <c:val>
            <c:numRef>
              <c:f>'task 8'!$D$5:$D$10</c:f>
              <c:numCache>
                <c:formatCode>0.00</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2-169B-45AF-B076-364B3996F233}"/>
            </c:ext>
          </c:extLst>
        </c:ser>
        <c:ser>
          <c:idx val="3"/>
          <c:order val="3"/>
          <c:tx>
            <c:strRef>
              <c:f>'task 8'!$E$3:$E$4</c:f>
              <c:strCache>
                <c:ptCount val="1"/>
                <c:pt idx="0">
                  <c:v>Furniture</c:v>
                </c:pt>
              </c:strCache>
            </c:strRef>
          </c:tx>
          <c:spPr>
            <a:solidFill>
              <a:schemeClr val="accent4"/>
            </a:solidFill>
            <a:ln>
              <a:noFill/>
            </a:ln>
            <a:effectLst/>
          </c:spPr>
          <c:invertIfNegative val="0"/>
          <c:cat>
            <c:strRef>
              <c:f>'task 8'!$A$5:$A$10</c:f>
              <c:strCache>
                <c:ptCount val="5"/>
                <c:pt idx="0">
                  <c:v>Central</c:v>
                </c:pt>
                <c:pt idx="1">
                  <c:v>East</c:v>
                </c:pt>
                <c:pt idx="2">
                  <c:v>North</c:v>
                </c:pt>
                <c:pt idx="3">
                  <c:v>South</c:v>
                </c:pt>
                <c:pt idx="4">
                  <c:v>West</c:v>
                </c:pt>
              </c:strCache>
            </c:strRef>
          </c:cat>
          <c:val>
            <c:numRef>
              <c:f>'task 8'!$E$5:$E$10</c:f>
              <c:numCache>
                <c:formatCode>0.00</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3-169B-45AF-B076-364B3996F233}"/>
            </c:ext>
          </c:extLst>
        </c:ser>
        <c:ser>
          <c:idx val="4"/>
          <c:order val="4"/>
          <c:tx>
            <c:strRef>
              <c:f>'task 8'!$F$3:$F$4</c:f>
              <c:strCache>
                <c:ptCount val="1"/>
                <c:pt idx="0">
                  <c:v>Office Supplies</c:v>
                </c:pt>
              </c:strCache>
            </c:strRef>
          </c:tx>
          <c:spPr>
            <a:solidFill>
              <a:schemeClr val="accent5"/>
            </a:solidFill>
            <a:ln>
              <a:noFill/>
            </a:ln>
            <a:effectLst/>
          </c:spPr>
          <c:invertIfNegative val="0"/>
          <c:cat>
            <c:strRef>
              <c:f>'task 8'!$A$5:$A$10</c:f>
              <c:strCache>
                <c:ptCount val="5"/>
                <c:pt idx="0">
                  <c:v>Central</c:v>
                </c:pt>
                <c:pt idx="1">
                  <c:v>East</c:v>
                </c:pt>
                <c:pt idx="2">
                  <c:v>North</c:v>
                </c:pt>
                <c:pt idx="3">
                  <c:v>South</c:v>
                </c:pt>
                <c:pt idx="4">
                  <c:v>West</c:v>
                </c:pt>
              </c:strCache>
            </c:strRef>
          </c:cat>
          <c:val>
            <c:numRef>
              <c:f>'task 8'!$F$5:$F$10</c:f>
              <c:numCache>
                <c:formatCode>0.00</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4-169B-45AF-B076-364B3996F233}"/>
            </c:ext>
          </c:extLst>
        </c:ser>
        <c:dLbls>
          <c:showLegendKey val="0"/>
          <c:showVal val="0"/>
          <c:showCatName val="0"/>
          <c:showSerName val="0"/>
          <c:showPercent val="0"/>
          <c:showBubbleSize val="0"/>
        </c:dLbls>
        <c:gapWidth val="219"/>
        <c:overlap val="-27"/>
        <c:axId val="1397722447"/>
        <c:axId val="881149119"/>
      </c:barChart>
      <c:catAx>
        <c:axId val="139772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149119"/>
        <c:crosses val="autoZero"/>
        <c:auto val="1"/>
        <c:lblAlgn val="ctr"/>
        <c:lblOffset val="100"/>
        <c:noMultiLvlLbl val="0"/>
      </c:catAx>
      <c:valAx>
        <c:axId val="8811491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72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[PR.2.xlsx]PRODUCT CATEGORY!PivotTable4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Share by Product Category</a:t>
            </a: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'PRODUCT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15-47DC-8BBC-412EAA6FA9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15-47DC-8BBC-412EAA6FA9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15-47DC-8BBC-412EAA6FA9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515-47DC-8BBC-412EAA6FA9D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515-47DC-8BBC-412EAA6FA9D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515-47DC-8BBC-412EAA6FA9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CATEGORY'!$A$4:$A$10</c:f>
              <c:strCache>
                <c:ptCount val="6"/>
                <c:pt idx="0">
                  <c:v>Books</c:v>
                </c:pt>
                <c:pt idx="1">
                  <c:v>Clothing</c:v>
                </c:pt>
                <c:pt idx="2">
                  <c:v>Electronics</c:v>
                </c:pt>
                <c:pt idx="3">
                  <c:v>Furniture</c:v>
                </c:pt>
                <c:pt idx="4">
                  <c:v>Office Supplies</c:v>
                </c:pt>
                <c:pt idx="5">
                  <c:v>(blank)</c:v>
                </c:pt>
              </c:strCache>
            </c:strRef>
          </c:cat>
          <c:val>
            <c:numRef>
              <c:f>'PRODUCT CATEGORY'!$B$4:$B$10</c:f>
              <c:numCache>
                <c:formatCode>General</c:formatCode>
                <c:ptCount val="6"/>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8CE4-4BD9-9DFD-851315D99D0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alpha val="88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[PR.2.xlsx]task 5!PivotTable1</c:name>
    <c:fmtId val="1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monthly sales trends</a:t>
            </a:r>
          </a:p>
          <a:p>
            <a:pPr>
              <a:defRPr/>
            </a:pPr>
            <a:endParaRPr lang="en-IN"/>
          </a:p>
        </c:rich>
      </c:tx>
      <c:layout>
        <c:manualLayout>
          <c:xMode val="edge"/>
          <c:yMode val="edge"/>
          <c:x val="0.24606477588359707"/>
          <c:y val="9.4821291984994255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09484494049894"/>
          <c:y val="0.29002137678546552"/>
          <c:w val="0.7312250337639834"/>
          <c:h val="0.33976142916597518"/>
        </c:manualLayout>
      </c:layout>
      <c:lineChart>
        <c:grouping val="standard"/>
        <c:varyColors val="0"/>
        <c:ser>
          <c:idx val="0"/>
          <c:order val="0"/>
          <c:tx>
            <c:strRef>
              <c:f>'task 5'!$B$3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multiLvlStrRef>
              <c:f>'task 5'!$A$4:$A$20</c:f>
              <c:multiLvlStrCache>
                <c:ptCount val="14"/>
                <c:lvl>
                  <c:pt idx="1">
                    <c:v>Apr</c:v>
                  </c:pt>
                  <c:pt idx="2">
                    <c:v>May</c:v>
                  </c:pt>
                  <c:pt idx="3">
                    <c:v>Jun</c:v>
                  </c:pt>
                  <c:pt idx="4">
                    <c:v>Jul</c:v>
                  </c:pt>
                  <c:pt idx="5">
                    <c:v>Aug</c:v>
                  </c:pt>
                  <c:pt idx="6">
                    <c:v>Sep</c:v>
                  </c:pt>
                  <c:pt idx="7">
                    <c:v>Oct</c:v>
                  </c:pt>
                  <c:pt idx="8">
                    <c:v>Nov</c:v>
                  </c:pt>
                  <c:pt idx="9">
                    <c:v>Dec</c:v>
                  </c:pt>
                  <c:pt idx="10">
                    <c:v>Jan</c:v>
                  </c:pt>
                  <c:pt idx="11">
                    <c:v>Feb</c:v>
                  </c:pt>
                  <c:pt idx="12">
                    <c:v>Mar</c:v>
                  </c:pt>
                  <c:pt idx="13">
                    <c:v>Apr</c:v>
                  </c:pt>
                </c:lvl>
                <c:lvl>
                  <c:pt idx="0">
                    <c:v>&lt;10-04-2024</c:v>
                  </c:pt>
                  <c:pt idx="1">
                    <c:v>2024</c:v>
                  </c:pt>
                  <c:pt idx="10">
                    <c:v>2025</c:v>
                  </c:pt>
                </c:lvl>
              </c:multiLvlStrCache>
            </c:multiLvlStrRef>
          </c:cat>
          <c:val>
            <c:numRef>
              <c:f>'task 5'!$B$4:$B$20</c:f>
              <c:numCache>
                <c:formatCode>General</c:formatCode>
                <c:ptCount val="14"/>
                <c:pt idx="1">
                  <c:v>19029.96</c:v>
                </c:pt>
                <c:pt idx="2">
                  <c:v>18507.339999999997</c:v>
                </c:pt>
                <c:pt idx="3">
                  <c:v>20187.509999999998</c:v>
                </c:pt>
                <c:pt idx="4">
                  <c:v>11609.039999999999</c:v>
                </c:pt>
                <c:pt idx="5">
                  <c:v>10091.699999999999</c:v>
                </c:pt>
                <c:pt idx="6">
                  <c:v>20533.499999999996</c:v>
                </c:pt>
                <c:pt idx="7">
                  <c:v>14215.240000000002</c:v>
                </c:pt>
                <c:pt idx="8">
                  <c:v>20135.030000000002</c:v>
                </c:pt>
                <c:pt idx="9">
                  <c:v>11120.04</c:v>
                </c:pt>
                <c:pt idx="10">
                  <c:v>14914.650000000001</c:v>
                </c:pt>
                <c:pt idx="11">
                  <c:v>14006.359999999999</c:v>
                </c:pt>
                <c:pt idx="12">
                  <c:v>17655.219999999998</c:v>
                </c:pt>
                <c:pt idx="13">
                  <c:v>3212.17</c:v>
                </c:pt>
              </c:numCache>
            </c:numRef>
          </c:val>
          <c:smooth val="0"/>
          <c:extLst>
            <c:ext xmlns:c16="http://schemas.microsoft.com/office/drawing/2014/chart" uri="{C3380CC4-5D6E-409C-BE32-E72D297353CC}">
              <c16:uniqueId val="{00000000-ED37-457E-A000-18C229D88CDE}"/>
            </c:ext>
          </c:extLst>
        </c:ser>
        <c:dLbls>
          <c:showLegendKey val="0"/>
          <c:showVal val="0"/>
          <c:showCatName val="0"/>
          <c:showSerName val="0"/>
          <c:showPercent val="0"/>
          <c:showBubbleSize val="0"/>
        </c:dLbls>
        <c:marker val="1"/>
        <c:smooth val="0"/>
        <c:axId val="1459356527"/>
        <c:axId val="881129439"/>
      </c:lineChart>
      <c:catAx>
        <c:axId val="14593565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81129439"/>
        <c:crosses val="autoZero"/>
        <c:auto val="1"/>
        <c:lblAlgn val="ctr"/>
        <c:lblOffset val="100"/>
        <c:noMultiLvlLbl val="0"/>
      </c:catAx>
      <c:valAx>
        <c:axId val="881129439"/>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35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alpha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[PR.2.xlsx]sales!PivotTable2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54042416499978"/>
          <c:y val="0.19274577651844321"/>
          <c:w val="0.77148874074496743"/>
          <c:h val="0.36958192082460667"/>
        </c:manualLayout>
      </c:layout>
      <c:barChart>
        <c:barDir val="col"/>
        <c:grouping val="clustered"/>
        <c:varyColors val="0"/>
        <c:ser>
          <c:idx val="0"/>
          <c:order val="0"/>
          <c:tx>
            <c:strRef>
              <c:f>sales!$B$3</c:f>
              <c:strCache>
                <c:ptCount val="1"/>
                <c:pt idx="0">
                  <c:v>Total</c:v>
                </c:pt>
              </c:strCache>
            </c:strRef>
          </c:tx>
          <c:spPr>
            <a:solidFill>
              <a:schemeClr val="accent1"/>
            </a:solidFill>
            <a:ln>
              <a:noFill/>
            </a:ln>
            <a:effectLst/>
          </c:spPr>
          <c:invertIfNegative val="0"/>
          <c:cat>
            <c:multiLvlStrRef>
              <c:f>sales!$A$4:$A$22</c:f>
              <c:multiLvlStrCache>
                <c:ptCount val="15"/>
                <c:lvl>
                  <c:pt idx="0">
                    <c:v>David Smith</c:v>
                  </c:pt>
                  <c:pt idx="1">
                    <c:v>Linda Taylor</c:v>
                  </c:pt>
                  <c:pt idx="2">
                    <c:v>Lisa Davis</c:v>
                  </c:pt>
                  <c:pt idx="3">
                    <c:v>Robert Anderson</c:v>
                  </c:pt>
                  <c:pt idx="4">
                    <c:v>Sarah Anderson</c:v>
                  </c:pt>
                  <c:pt idx="5">
                    <c:v>David Anderson</c:v>
                  </c:pt>
                  <c:pt idx="6">
                    <c:v>Mary Jackson</c:v>
                  </c:pt>
                  <c:pt idx="7">
                    <c:v>David Brown</c:v>
                  </c:pt>
                  <c:pt idx="8">
                    <c:v>Emma Davis</c:v>
                  </c:pt>
                  <c:pt idx="9">
                    <c:v>Emma Taylor</c:v>
                  </c:pt>
                  <c:pt idx="10">
                    <c:v>James Davis</c:v>
                  </c:pt>
                  <c:pt idx="11">
                    <c:v>Linda Jackson</c:v>
                  </c:pt>
                  <c:pt idx="12">
                    <c:v>Lisa Davis</c:v>
                  </c:pt>
                  <c:pt idx="13">
                    <c:v>Michael Anderson</c:v>
                  </c:pt>
                  <c:pt idx="14">
                    <c:v>Robert Anderson</c:v>
                  </c:pt>
                </c:lvl>
                <c:lvl>
                  <c:pt idx="0">
                    <c:v>CUST005</c:v>
                  </c:pt>
                  <c:pt idx="5">
                    <c:v>CUST006</c:v>
                  </c:pt>
                  <c:pt idx="7">
                    <c:v>CUST007</c:v>
                  </c:pt>
                </c:lvl>
              </c:multiLvlStrCache>
            </c:multiLvlStrRef>
          </c:cat>
          <c:val>
            <c:numRef>
              <c:f>sales!$B$4:$B$22</c:f>
              <c:numCache>
                <c:formatCode>General</c:formatCode>
                <c:ptCount val="15"/>
                <c:pt idx="0">
                  <c:v>1151.21</c:v>
                </c:pt>
                <c:pt idx="1">
                  <c:v>1261.3399999999999</c:v>
                </c:pt>
                <c:pt idx="2">
                  <c:v>1070.68</c:v>
                </c:pt>
                <c:pt idx="3">
                  <c:v>1679.9699999999998</c:v>
                </c:pt>
                <c:pt idx="4">
                  <c:v>1502.93</c:v>
                </c:pt>
                <c:pt idx="5">
                  <c:v>1193.6099999999999</c:v>
                </c:pt>
                <c:pt idx="6">
                  <c:v>1506.14</c:v>
                </c:pt>
                <c:pt idx="7">
                  <c:v>2173.1999999999998</c:v>
                </c:pt>
                <c:pt idx="8">
                  <c:v>833.91</c:v>
                </c:pt>
                <c:pt idx="9">
                  <c:v>1101.55</c:v>
                </c:pt>
                <c:pt idx="10">
                  <c:v>762.14</c:v>
                </c:pt>
                <c:pt idx="11">
                  <c:v>1021.47</c:v>
                </c:pt>
                <c:pt idx="12">
                  <c:v>953.3</c:v>
                </c:pt>
                <c:pt idx="13">
                  <c:v>2157.2199999999998</c:v>
                </c:pt>
                <c:pt idx="14">
                  <c:v>939.09</c:v>
                </c:pt>
              </c:numCache>
            </c:numRef>
          </c:val>
          <c:extLst>
            <c:ext xmlns:c16="http://schemas.microsoft.com/office/drawing/2014/chart" uri="{C3380CC4-5D6E-409C-BE32-E72D297353CC}">
              <c16:uniqueId val="{00000000-36D7-4708-BCC8-7FFDBA8512BB}"/>
            </c:ext>
          </c:extLst>
        </c:ser>
        <c:dLbls>
          <c:showLegendKey val="0"/>
          <c:showVal val="0"/>
          <c:showCatName val="0"/>
          <c:showSerName val="0"/>
          <c:showPercent val="0"/>
          <c:showBubbleSize val="0"/>
        </c:dLbls>
        <c:gapWidth val="219"/>
        <c:overlap val="-27"/>
        <c:axId val="1516113263"/>
        <c:axId val="881146239"/>
      </c:barChart>
      <c:catAx>
        <c:axId val="151611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146239"/>
        <c:crosses val="autoZero"/>
        <c:auto val="1"/>
        <c:lblAlgn val="ctr"/>
        <c:lblOffset val="100"/>
        <c:noMultiLvlLbl val="0"/>
      </c:catAx>
      <c:valAx>
        <c:axId val="881146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113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alpha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[PR.2.xlsx]task 8!PivotTable3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by region</a:t>
            </a:r>
          </a:p>
          <a:p>
            <a:pPr>
              <a:defRPr/>
            </a:pP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8'!$B$3:$B$4</c:f>
              <c:strCache>
                <c:ptCount val="1"/>
                <c:pt idx="0">
                  <c:v>Books</c:v>
                </c:pt>
              </c:strCache>
            </c:strRef>
          </c:tx>
          <c:spPr>
            <a:solidFill>
              <a:schemeClr val="accent1"/>
            </a:solidFill>
            <a:ln>
              <a:noFill/>
            </a:ln>
            <a:effectLst/>
          </c:spPr>
          <c:invertIfNegative val="0"/>
          <c:cat>
            <c:strRef>
              <c:f>'task 8'!$A$5:$A$10</c:f>
              <c:strCache>
                <c:ptCount val="5"/>
                <c:pt idx="0">
                  <c:v>Central</c:v>
                </c:pt>
                <c:pt idx="1">
                  <c:v>East</c:v>
                </c:pt>
                <c:pt idx="2">
                  <c:v>North</c:v>
                </c:pt>
                <c:pt idx="3">
                  <c:v>South</c:v>
                </c:pt>
                <c:pt idx="4">
                  <c:v>West</c:v>
                </c:pt>
              </c:strCache>
            </c:strRef>
          </c:cat>
          <c:val>
            <c:numRef>
              <c:f>'task 8'!$B$5:$B$10</c:f>
              <c:numCache>
                <c:formatCode>0.00</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CD4C-45FC-A4E6-F7952285939C}"/>
            </c:ext>
          </c:extLst>
        </c:ser>
        <c:ser>
          <c:idx val="1"/>
          <c:order val="1"/>
          <c:tx>
            <c:strRef>
              <c:f>'task 8'!$C$3:$C$4</c:f>
              <c:strCache>
                <c:ptCount val="1"/>
                <c:pt idx="0">
                  <c:v>Clothing</c:v>
                </c:pt>
              </c:strCache>
            </c:strRef>
          </c:tx>
          <c:spPr>
            <a:solidFill>
              <a:schemeClr val="accent2"/>
            </a:solidFill>
            <a:ln>
              <a:noFill/>
            </a:ln>
            <a:effectLst/>
          </c:spPr>
          <c:invertIfNegative val="0"/>
          <c:cat>
            <c:strRef>
              <c:f>'task 8'!$A$5:$A$10</c:f>
              <c:strCache>
                <c:ptCount val="5"/>
                <c:pt idx="0">
                  <c:v>Central</c:v>
                </c:pt>
                <c:pt idx="1">
                  <c:v>East</c:v>
                </c:pt>
                <c:pt idx="2">
                  <c:v>North</c:v>
                </c:pt>
                <c:pt idx="3">
                  <c:v>South</c:v>
                </c:pt>
                <c:pt idx="4">
                  <c:v>West</c:v>
                </c:pt>
              </c:strCache>
            </c:strRef>
          </c:cat>
          <c:val>
            <c:numRef>
              <c:f>'task 8'!$C$5:$C$10</c:f>
              <c:numCache>
                <c:formatCode>0.00</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1-CD4C-45FC-A4E6-F7952285939C}"/>
            </c:ext>
          </c:extLst>
        </c:ser>
        <c:ser>
          <c:idx val="2"/>
          <c:order val="2"/>
          <c:tx>
            <c:strRef>
              <c:f>'task 8'!$D$3:$D$4</c:f>
              <c:strCache>
                <c:ptCount val="1"/>
                <c:pt idx="0">
                  <c:v>Electronics</c:v>
                </c:pt>
              </c:strCache>
            </c:strRef>
          </c:tx>
          <c:spPr>
            <a:solidFill>
              <a:schemeClr val="accent3"/>
            </a:solidFill>
            <a:ln>
              <a:noFill/>
            </a:ln>
            <a:effectLst/>
          </c:spPr>
          <c:invertIfNegative val="0"/>
          <c:cat>
            <c:strRef>
              <c:f>'task 8'!$A$5:$A$10</c:f>
              <c:strCache>
                <c:ptCount val="5"/>
                <c:pt idx="0">
                  <c:v>Central</c:v>
                </c:pt>
                <c:pt idx="1">
                  <c:v>East</c:v>
                </c:pt>
                <c:pt idx="2">
                  <c:v>North</c:v>
                </c:pt>
                <c:pt idx="3">
                  <c:v>South</c:v>
                </c:pt>
                <c:pt idx="4">
                  <c:v>West</c:v>
                </c:pt>
              </c:strCache>
            </c:strRef>
          </c:cat>
          <c:val>
            <c:numRef>
              <c:f>'task 8'!$D$5:$D$10</c:f>
              <c:numCache>
                <c:formatCode>0.00</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2-CD4C-45FC-A4E6-F7952285939C}"/>
            </c:ext>
          </c:extLst>
        </c:ser>
        <c:ser>
          <c:idx val="3"/>
          <c:order val="3"/>
          <c:tx>
            <c:strRef>
              <c:f>'task 8'!$E$3:$E$4</c:f>
              <c:strCache>
                <c:ptCount val="1"/>
                <c:pt idx="0">
                  <c:v>Furniture</c:v>
                </c:pt>
              </c:strCache>
            </c:strRef>
          </c:tx>
          <c:spPr>
            <a:solidFill>
              <a:schemeClr val="accent4"/>
            </a:solidFill>
            <a:ln>
              <a:noFill/>
            </a:ln>
            <a:effectLst/>
          </c:spPr>
          <c:invertIfNegative val="0"/>
          <c:cat>
            <c:strRef>
              <c:f>'task 8'!$A$5:$A$10</c:f>
              <c:strCache>
                <c:ptCount val="5"/>
                <c:pt idx="0">
                  <c:v>Central</c:v>
                </c:pt>
                <c:pt idx="1">
                  <c:v>East</c:v>
                </c:pt>
                <c:pt idx="2">
                  <c:v>North</c:v>
                </c:pt>
                <c:pt idx="3">
                  <c:v>South</c:v>
                </c:pt>
                <c:pt idx="4">
                  <c:v>West</c:v>
                </c:pt>
              </c:strCache>
            </c:strRef>
          </c:cat>
          <c:val>
            <c:numRef>
              <c:f>'task 8'!$E$5:$E$10</c:f>
              <c:numCache>
                <c:formatCode>0.00</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3-CD4C-45FC-A4E6-F7952285939C}"/>
            </c:ext>
          </c:extLst>
        </c:ser>
        <c:ser>
          <c:idx val="4"/>
          <c:order val="4"/>
          <c:tx>
            <c:strRef>
              <c:f>'task 8'!$F$3:$F$4</c:f>
              <c:strCache>
                <c:ptCount val="1"/>
                <c:pt idx="0">
                  <c:v>Office Supplies</c:v>
                </c:pt>
              </c:strCache>
            </c:strRef>
          </c:tx>
          <c:spPr>
            <a:solidFill>
              <a:schemeClr val="accent5"/>
            </a:solidFill>
            <a:ln>
              <a:noFill/>
            </a:ln>
            <a:effectLst/>
          </c:spPr>
          <c:invertIfNegative val="0"/>
          <c:cat>
            <c:strRef>
              <c:f>'task 8'!$A$5:$A$10</c:f>
              <c:strCache>
                <c:ptCount val="5"/>
                <c:pt idx="0">
                  <c:v>Central</c:v>
                </c:pt>
                <c:pt idx="1">
                  <c:v>East</c:v>
                </c:pt>
                <c:pt idx="2">
                  <c:v>North</c:v>
                </c:pt>
                <c:pt idx="3">
                  <c:v>South</c:v>
                </c:pt>
                <c:pt idx="4">
                  <c:v>West</c:v>
                </c:pt>
              </c:strCache>
            </c:strRef>
          </c:cat>
          <c:val>
            <c:numRef>
              <c:f>'task 8'!$F$5:$F$10</c:f>
              <c:numCache>
                <c:formatCode>0.00</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4-CD4C-45FC-A4E6-F7952285939C}"/>
            </c:ext>
          </c:extLst>
        </c:ser>
        <c:dLbls>
          <c:showLegendKey val="0"/>
          <c:showVal val="0"/>
          <c:showCatName val="0"/>
          <c:showSerName val="0"/>
          <c:showPercent val="0"/>
          <c:showBubbleSize val="0"/>
        </c:dLbls>
        <c:gapWidth val="219"/>
        <c:overlap val="-27"/>
        <c:axId val="1397722447"/>
        <c:axId val="881149119"/>
      </c:barChart>
      <c:catAx>
        <c:axId val="139772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149119"/>
        <c:crosses val="autoZero"/>
        <c:auto val="1"/>
        <c:lblAlgn val="ctr"/>
        <c:lblOffset val="100"/>
        <c:noMultiLvlLbl val="0"/>
      </c:catAx>
      <c:valAx>
        <c:axId val="8811491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72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alpha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[PR.2.xlsx]PRODUCT CATEGORY!PivotTable4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Share by Product Category</a:t>
            </a: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2004762104387233"/>
          <c:y val="0.28379197288739444"/>
          <c:w val="0.42782949713901758"/>
          <c:h val="0.64195726504308404"/>
        </c:manualLayout>
      </c:layout>
      <c:pieChart>
        <c:varyColors val="1"/>
        <c:ser>
          <c:idx val="0"/>
          <c:order val="0"/>
          <c:tx>
            <c:strRef>
              <c:f>'PRODUCT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E7-418E-891C-ED8F6D307D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E7-418E-891C-ED8F6D307D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8E7-418E-891C-ED8F6D307D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8E7-418E-891C-ED8F6D307D6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8E7-418E-891C-ED8F6D307D6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8E7-418E-891C-ED8F6D307D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CATEGORY'!$A$4:$A$10</c:f>
              <c:strCache>
                <c:ptCount val="6"/>
                <c:pt idx="0">
                  <c:v>Books</c:v>
                </c:pt>
                <c:pt idx="1">
                  <c:v>Clothing</c:v>
                </c:pt>
                <c:pt idx="2">
                  <c:v>Electronics</c:v>
                </c:pt>
                <c:pt idx="3">
                  <c:v>Furniture</c:v>
                </c:pt>
                <c:pt idx="4">
                  <c:v>Office Supplies</c:v>
                </c:pt>
                <c:pt idx="5">
                  <c:v>(blank)</c:v>
                </c:pt>
              </c:strCache>
            </c:strRef>
          </c:cat>
          <c:val>
            <c:numRef>
              <c:f>'PRODUCT CATEGORY'!$B$4:$B$10</c:f>
              <c:numCache>
                <c:formatCode>General</c:formatCode>
                <c:ptCount val="6"/>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C-D8E7-418E-891C-ED8F6D307D6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alpha val="88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526542</xdr:colOff>
      <xdr:row>21</xdr:row>
      <xdr:rowOff>127075</xdr:rowOff>
    </xdr:from>
    <xdr:to>
      <xdr:col>10</xdr:col>
      <xdr:colOff>494708</xdr:colOff>
      <xdr:row>36</xdr:row>
      <xdr:rowOff>14758</xdr:rowOff>
    </xdr:to>
    <xdr:graphicFrame macro="">
      <xdr:nvGraphicFramePr>
        <xdr:cNvPr id="2" name="Chart 1">
          <a:extLst>
            <a:ext uri="{FF2B5EF4-FFF2-40B4-BE49-F238E27FC236}">
              <a16:creationId xmlns:a16="http://schemas.microsoft.com/office/drawing/2014/main" id="{709785B9-2DCB-F891-B5A0-F75C1C7037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340518</xdr:colOff>
      <xdr:row>0</xdr:row>
      <xdr:rowOff>171847</xdr:rowOff>
    </xdr:from>
    <xdr:to>
      <xdr:col>10</xdr:col>
      <xdr:colOff>340518</xdr:colOff>
      <xdr:row>14</xdr:row>
      <xdr:rowOff>171847</xdr:rowOff>
    </xdr:to>
    <mc:AlternateContent xmlns:mc="http://schemas.openxmlformats.org/markup-compatibility/2006" xmlns:a14="http://schemas.microsoft.com/office/drawing/2010/main">
      <mc:Choice Requires="a14">
        <xdr:graphicFrame macro="">
          <xdr:nvGraphicFramePr>
            <xdr:cNvPr id="3" name="Customer_ID">
              <a:extLst>
                <a:ext uri="{FF2B5EF4-FFF2-40B4-BE49-F238E27FC236}">
                  <a16:creationId xmlns:a16="http://schemas.microsoft.com/office/drawing/2014/main" id="{D15B7201-2536-9A68-16C2-694C95EFDD32}"/>
                </a:ext>
              </a:extLst>
            </xdr:cNvPr>
            <xdr:cNvGraphicFramePr/>
          </xdr:nvGraphicFramePr>
          <xdr:xfrm>
            <a:off x="0" y="0"/>
            <a:ext cx="0" cy="0"/>
          </xdr:xfrm>
          <a:graphic>
            <a:graphicData uri="http://schemas.microsoft.com/office/drawing/2010/slicer">
              <sle:slicer xmlns:sle="http://schemas.microsoft.com/office/drawing/2010/slicer" name="Customer_ID"/>
            </a:graphicData>
          </a:graphic>
        </xdr:graphicFrame>
      </mc:Choice>
      <mc:Fallback xmlns="">
        <xdr:sp macro="" textlink="">
          <xdr:nvSpPr>
            <xdr:cNvPr id="0" name=""/>
            <xdr:cNvSpPr>
              <a:spLocks noTextEdit="1"/>
            </xdr:cNvSpPr>
          </xdr:nvSpPr>
          <xdr:spPr>
            <a:xfrm>
              <a:off x="5331221" y="171847"/>
              <a:ext cx="1815703" cy="2639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409575</xdr:colOff>
      <xdr:row>1</xdr:row>
      <xdr:rowOff>133349</xdr:rowOff>
    </xdr:from>
    <xdr:to>
      <xdr:col>11</xdr:col>
      <xdr:colOff>561974</xdr:colOff>
      <xdr:row>21</xdr:row>
      <xdr:rowOff>28574</xdr:rowOff>
    </xdr:to>
    <xdr:graphicFrame macro="">
      <xdr:nvGraphicFramePr>
        <xdr:cNvPr id="4" name="Chart 3">
          <a:extLst>
            <a:ext uri="{FF2B5EF4-FFF2-40B4-BE49-F238E27FC236}">
              <a16:creationId xmlns:a16="http://schemas.microsoft.com/office/drawing/2014/main" id="{32E0A1EF-45FF-5954-696E-FF0599F75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19056</xdr:colOff>
      <xdr:row>11</xdr:row>
      <xdr:rowOff>166687</xdr:rowOff>
    </xdr:from>
    <xdr:to>
      <xdr:col>7</xdr:col>
      <xdr:colOff>19056</xdr:colOff>
      <xdr:row>26</xdr:row>
      <xdr:rowOff>52387</xdr:rowOff>
    </xdr:to>
    <xdr:graphicFrame macro="">
      <xdr:nvGraphicFramePr>
        <xdr:cNvPr id="2" name="Chart 1">
          <a:extLst>
            <a:ext uri="{FF2B5EF4-FFF2-40B4-BE49-F238E27FC236}">
              <a16:creationId xmlns:a16="http://schemas.microsoft.com/office/drawing/2014/main" id="{65440D6B-8174-621E-CD9C-0DF9F28266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133356</xdr:colOff>
      <xdr:row>2</xdr:row>
      <xdr:rowOff>42862</xdr:rowOff>
    </xdr:from>
    <xdr:to>
      <xdr:col>9</xdr:col>
      <xdr:colOff>438156</xdr:colOff>
      <xdr:row>16</xdr:row>
      <xdr:rowOff>119062</xdr:rowOff>
    </xdr:to>
    <xdr:graphicFrame macro="">
      <xdr:nvGraphicFramePr>
        <xdr:cNvPr id="2" name="Chart 1">
          <a:extLst>
            <a:ext uri="{FF2B5EF4-FFF2-40B4-BE49-F238E27FC236}">
              <a16:creationId xmlns:a16="http://schemas.microsoft.com/office/drawing/2014/main" id="{C7DC28F9-3DD9-474F-E583-9CCC2B598E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31230</xdr:colOff>
      <xdr:row>27</xdr:row>
      <xdr:rowOff>85880</xdr:rowOff>
    </xdr:from>
    <xdr:to>
      <xdr:col>9</xdr:col>
      <xdr:colOff>515287</xdr:colOff>
      <xdr:row>39</xdr:row>
      <xdr:rowOff>85881</xdr:rowOff>
    </xdr:to>
    <xdr:graphicFrame macro="">
      <xdr:nvGraphicFramePr>
        <xdr:cNvPr id="2" name="Chart 1">
          <a:extLst>
            <a:ext uri="{FF2B5EF4-FFF2-40B4-BE49-F238E27FC236}">
              <a16:creationId xmlns:a16="http://schemas.microsoft.com/office/drawing/2014/main" id="{49F1A81D-2D1A-4E90-90F5-926F2EE48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12654</xdr:colOff>
      <xdr:row>26</xdr:row>
      <xdr:rowOff>162548</xdr:rowOff>
    </xdr:from>
    <xdr:to>
      <xdr:col>17</xdr:col>
      <xdr:colOff>234221</xdr:colOff>
      <xdr:row>40</xdr:row>
      <xdr:rowOff>0</xdr:rowOff>
    </xdr:to>
    <xdr:graphicFrame macro="">
      <xdr:nvGraphicFramePr>
        <xdr:cNvPr id="4" name="Chart 3">
          <a:extLst>
            <a:ext uri="{FF2B5EF4-FFF2-40B4-BE49-F238E27FC236}">
              <a16:creationId xmlns:a16="http://schemas.microsoft.com/office/drawing/2014/main" id="{50FC5F1D-EC75-4A0A-9993-F019D8FB3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217687</xdr:colOff>
      <xdr:row>32</xdr:row>
      <xdr:rowOff>29919</xdr:rowOff>
    </xdr:from>
    <xdr:to>
      <xdr:col>21</xdr:col>
      <xdr:colOff>211733</xdr:colOff>
      <xdr:row>40</xdr:row>
      <xdr:rowOff>18012</xdr:rowOff>
    </xdr:to>
    <mc:AlternateContent xmlns:mc="http://schemas.openxmlformats.org/markup-compatibility/2006">
      <mc:Choice xmlns:a14="http://schemas.microsoft.com/office/drawing/2010/main" Requires="a14">
        <xdr:graphicFrame macro="">
          <xdr:nvGraphicFramePr>
            <xdr:cNvPr id="5" name="Customer_ID 1">
              <a:extLst>
                <a:ext uri="{FF2B5EF4-FFF2-40B4-BE49-F238E27FC236}">
                  <a16:creationId xmlns:a16="http://schemas.microsoft.com/office/drawing/2014/main" id="{AFFD9591-7875-45BC-9DFF-C60397F3AB4E}"/>
                </a:ext>
              </a:extLst>
            </xdr:cNvPr>
            <xdr:cNvGraphicFramePr/>
          </xdr:nvGraphicFramePr>
          <xdr:xfrm>
            <a:off x="0" y="0"/>
            <a:ext cx="0" cy="0"/>
          </xdr:xfrm>
          <a:graphic>
            <a:graphicData uri="http://schemas.microsoft.com/office/drawing/2010/slicer">
              <sle:slicer xmlns:sle="http://schemas.microsoft.com/office/drawing/2010/slicer" name="Customer_ID 1"/>
            </a:graphicData>
          </a:graphic>
        </xdr:graphicFrame>
      </mc:Choice>
      <mc:Fallback>
        <xdr:sp macro="" textlink="">
          <xdr:nvSpPr>
            <xdr:cNvPr id="0" name=""/>
            <xdr:cNvSpPr>
              <a:spLocks noTextEdit="1"/>
            </xdr:cNvSpPr>
          </xdr:nvSpPr>
          <xdr:spPr>
            <a:xfrm>
              <a:off x="11491112" y="6775707"/>
              <a:ext cx="1833806" cy="15538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176332</xdr:colOff>
      <xdr:row>10</xdr:row>
      <xdr:rowOff>123840</xdr:rowOff>
    </xdr:from>
    <xdr:to>
      <xdr:col>9</xdr:col>
      <xdr:colOff>593360</xdr:colOff>
      <xdr:row>24</xdr:row>
      <xdr:rowOff>163955</xdr:rowOff>
    </xdr:to>
    <xdr:graphicFrame macro="">
      <xdr:nvGraphicFramePr>
        <xdr:cNvPr id="6" name="Chart 5">
          <a:extLst>
            <a:ext uri="{FF2B5EF4-FFF2-40B4-BE49-F238E27FC236}">
              <a16:creationId xmlns:a16="http://schemas.microsoft.com/office/drawing/2014/main" id="{DE1BE3D4-A4D8-4574-85E5-A7815E799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100938</xdr:colOff>
      <xdr:row>10</xdr:row>
      <xdr:rowOff>148474</xdr:rowOff>
    </xdr:from>
    <xdr:to>
      <xdr:col>2</xdr:col>
      <xdr:colOff>721335</xdr:colOff>
      <xdr:row>22</xdr:row>
      <xdr:rowOff>27771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3B4BBED7-32FD-A6D8-60EB-6F8E8EE9EA1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0938" y="2588440"/>
              <a:ext cx="1846904" cy="2227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168135</xdr:rowOff>
    </xdr:from>
    <xdr:to>
      <xdr:col>2</xdr:col>
      <xdr:colOff>620397</xdr:colOff>
      <xdr:row>36</xdr:row>
      <xdr:rowOff>146026</xdr:rowOff>
    </xdr:to>
    <mc:AlternateContent xmlns:mc="http://schemas.openxmlformats.org/markup-compatibility/2006">
      <mc:Choice xmlns:a14="http://schemas.microsoft.com/office/drawing/2010/main" Requires="a14">
        <xdr:graphicFrame macro="">
          <xdr:nvGraphicFramePr>
            <xdr:cNvPr id="8" name="Years (Order_Date)">
              <a:extLst>
                <a:ext uri="{FF2B5EF4-FFF2-40B4-BE49-F238E27FC236}">
                  <a16:creationId xmlns:a16="http://schemas.microsoft.com/office/drawing/2014/main" id="{6DF5DE1F-1F1B-28ED-DFF3-C6B0D858DAE0}"/>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dr:sp macro="" textlink="">
          <xdr:nvSpPr>
            <xdr:cNvPr id="0" name=""/>
            <xdr:cNvSpPr>
              <a:spLocks noTextEdit="1"/>
            </xdr:cNvSpPr>
          </xdr:nvSpPr>
          <xdr:spPr>
            <a:xfrm>
              <a:off x="0" y="6131046"/>
              <a:ext cx="1846904" cy="15436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79064</xdr:colOff>
      <xdr:row>11</xdr:row>
      <xdr:rowOff>29555</xdr:rowOff>
    </xdr:from>
    <xdr:to>
      <xdr:col>17</xdr:col>
      <xdr:colOff>195184</xdr:colOff>
      <xdr:row>24</xdr:row>
      <xdr:rowOff>163955</xdr:rowOff>
    </xdr:to>
    <xdr:graphicFrame macro="">
      <xdr:nvGraphicFramePr>
        <xdr:cNvPr id="10" name="Chart 9">
          <a:extLst>
            <a:ext uri="{FF2B5EF4-FFF2-40B4-BE49-F238E27FC236}">
              <a16:creationId xmlns:a16="http://schemas.microsoft.com/office/drawing/2014/main" id="{3028850F-F5F0-4F7B-A732-0EFDD4DFB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07.526217245373" createdVersion="8" refreshedVersion="8" minRefreshableVersion="3" recordCount="201" xr:uid="{1A809DEA-07EC-49E1-951D-7A5ED993399B}">
  <cacheSource type="worksheet">
    <worksheetSource ref="A1:K202" sheet="customer_analysis"/>
  </cacheSource>
  <cacheFields count="13">
    <cacheField name="Customer_ID" numFmtId="0">
      <sharedItems containsBlank="1" count="31">
        <s v="CUST019"/>
        <s v="CUST012"/>
        <s v="CUST017"/>
        <s v="CUST005"/>
        <s v="CUST030"/>
        <s v="CUST007"/>
        <s v="CUST001"/>
        <s v="CUST026"/>
        <s v="CUST009"/>
        <s v="CUST010"/>
        <s v="CUST014"/>
        <s v="CUST023"/>
        <s v="CUST029"/>
        <s v="CUST008"/>
        <s v="CUST006"/>
        <s v="CUST022"/>
        <s v="CUST028"/>
        <s v="CUST025"/>
        <s v="CUST021"/>
        <s v="CUST015"/>
        <s v="CUST016"/>
        <s v="CUST011"/>
        <s v="CUST002"/>
        <s v="CUST003"/>
        <s v="CUST020"/>
        <s v="CUST024"/>
        <s v="CUST004"/>
        <s v="CUST013"/>
        <s v="CUST027"/>
        <s v="CUST018"/>
        <m/>
      </sharedItems>
    </cacheField>
    <cacheField name="Customer_Name" numFmtId="0">
      <sharedItems containsBlank="1" count="28">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m/>
      </sharedItems>
    </cacheField>
    <cacheField name="Region" numFmtId="0">
      <sharedItems containsBlank="1" count="6">
        <s v="West"/>
        <s v="East"/>
        <s v="South"/>
        <s v="North"/>
        <s v="Central"/>
        <m/>
      </sharedItems>
    </cacheField>
    <cacheField name="Product_Category" numFmtId="0">
      <sharedItems containsBlank="1" count="6">
        <s v="Books"/>
        <s v="Clothing"/>
        <s v="Electronics"/>
        <s v="Furniture"/>
        <s v="Office Supplies"/>
        <m/>
      </sharedItems>
    </cacheField>
    <cacheField name="Sales" numFmtId="0">
      <sharedItems containsString="0" containsBlank="1" containsNumber="1" minValue="258.51" maxValue="1923.66" count="201">
        <n v="1036.0899999999999"/>
        <n v="1101.28"/>
        <n v="713.34"/>
        <n v="760.93"/>
        <n v="847"/>
        <n v="965.64"/>
        <n v="1317.53"/>
        <n v="1074.47"/>
        <n v="501.54"/>
        <n v="737.31"/>
        <n v="1572.82"/>
        <n v="1343.13"/>
        <n v="1191.58"/>
        <n v="822.28"/>
        <n v="521.66999999999996"/>
        <n v="1502.93"/>
        <n v="877.58"/>
        <n v="636.70000000000005"/>
        <n v="1506.14"/>
        <n v="645.02"/>
        <n v="953.3"/>
        <n v="388.56"/>
        <n v="743.17"/>
        <n v="706.37"/>
        <n v="925.31"/>
        <n v="1173.1199999999999"/>
        <n v="675.54"/>
        <n v="939.09"/>
        <n v="983.34"/>
        <n v="801.21"/>
        <n v="1450.71"/>
        <n v="1023.21"/>
        <n v="853.72"/>
        <n v="967.89"/>
        <n v="1200.9000000000001"/>
        <n v="472.38"/>
        <n v="840.92"/>
        <n v="1410.06"/>
        <n v="773.09"/>
        <n v="580.42999999999995"/>
        <n v="1151.21"/>
        <n v="1025.98"/>
        <n v="556.41999999999996"/>
        <n v="840.85"/>
        <n v="1227.25"/>
        <n v="856.7"/>
        <n v="1225.42"/>
        <n v="1001.57"/>
        <n v="1186.8499999999999"/>
        <n v="775.45"/>
        <n v="1021.47"/>
        <n v="1226.6199999999999"/>
        <n v="1086.93"/>
        <n v="942.9"/>
        <n v="818.8"/>
        <n v="919.04"/>
        <n v="973.26"/>
        <n v="741.61"/>
        <n v="1248.82"/>
        <n v="1360.36"/>
        <n v="1383.3"/>
        <n v="488.99"/>
        <n v="933.71"/>
        <n v="1005.53"/>
        <n v="1100.0999999999999"/>
        <n v="1034.7"/>
        <n v="876.44"/>
        <n v="1371.34"/>
        <n v="1020.26"/>
        <n v="804.81"/>
        <n v="608.66"/>
        <n v="981.2"/>
        <n v="539.77"/>
        <n v="804.45"/>
        <n v="1526.6"/>
        <n v="1215.26"/>
        <n v="1261.3399999999999"/>
        <n v="518.07000000000005"/>
        <n v="1111.3399999999999"/>
        <n v="1291.47"/>
        <n v="679.71"/>
        <n v="1143.69"/>
        <n v="790.08"/>
        <n v="1070.68"/>
        <n v="1168.8900000000001"/>
        <n v="1335.87"/>
        <n v="873.7"/>
        <n v="1443.98"/>
        <n v="1154.33"/>
        <n v="1264.49"/>
        <n v="1101.55"/>
        <n v="727.73"/>
        <n v="875.41"/>
        <n v="1158.94"/>
        <n v="966.3"/>
        <n v="917.48"/>
        <n v="1172.97"/>
        <n v="1205.82"/>
        <n v="826.93"/>
        <n v="902.19"/>
        <n v="585.97"/>
        <n v="990.19"/>
        <n v="1014.09"/>
        <n v="925.29"/>
        <n v="1286.54"/>
        <n v="961.62"/>
        <n v="1081.1400000000001"/>
        <n v="1923.66"/>
        <n v="728.71"/>
        <n v="1301.8900000000001"/>
        <n v="980.18"/>
        <n v="697.57"/>
        <n v="1193.6099999999999"/>
        <n v="771.02"/>
        <n v="661.09"/>
        <n v="688.83"/>
        <n v="1249.0999999999999"/>
        <n v="1014.22"/>
        <n v="1010.58"/>
        <n v="957.29"/>
        <n v="1077.92"/>
        <n v="1163.01"/>
        <n v="1014.56"/>
        <n v="718.04"/>
        <n v="1277.8499999999999"/>
        <n v="706.73"/>
        <n v="1410.59"/>
        <n v="1350.33"/>
        <n v="919.18"/>
        <n v="258.51"/>
        <n v="1213.48"/>
        <n v="1150.28"/>
        <n v="853.86"/>
        <n v="1061.04"/>
        <n v="894.55"/>
        <n v="833.91"/>
        <n v="820.19"/>
        <n v="511.74"/>
        <n v="806.03"/>
        <n v="1432.47"/>
        <n v="1488.58"/>
        <n v="1231.26"/>
        <n v="1161.67"/>
        <n v="388.23"/>
        <n v="1589.42"/>
        <n v="336.66"/>
        <n v="1353.79"/>
        <n v="662.61"/>
        <n v="309.42"/>
        <n v="884.63"/>
        <n v="745.05"/>
        <n v="870.23"/>
        <n v="862.19"/>
        <n v="1171.18"/>
        <n v="1054.56"/>
        <n v="1681.21"/>
        <n v="379.77"/>
        <n v="1076.33"/>
        <n v="1250.71"/>
        <n v="1118.3399999999999"/>
        <n v="1622.62"/>
        <n v="640.64"/>
        <n v="585.16"/>
        <n v="1109.98"/>
        <n v="1098.08"/>
        <n v="827.25"/>
        <n v="741.88"/>
        <n v="1311.26"/>
        <n v="573.32000000000005"/>
        <n v="1115.22"/>
        <n v="845.84"/>
        <n v="1029.8"/>
        <n v="1189.83"/>
        <n v="704.28"/>
        <n v="1618.22"/>
        <n v="1014.43"/>
        <n v="826.97"/>
        <n v="1022.23"/>
        <n v="1099.69"/>
        <n v="710.52"/>
        <n v="499.18"/>
        <n v="1064.19"/>
        <n v="438.76"/>
        <n v="864.98"/>
        <n v="984.93"/>
        <n v="1493.49"/>
        <n v="689.43"/>
        <n v="682.24"/>
        <n v="458.54"/>
        <n v="1184.25"/>
        <n v="762.14"/>
        <n v="750.71"/>
        <n v="1456.94"/>
        <n v="1093.3800000000001"/>
        <n v="934.27"/>
        <n v="1465.35"/>
        <n v="740.8"/>
        <n v="545.44000000000005"/>
        <n v="997.61"/>
        <n v="928.32"/>
        <m/>
      </sharedItems>
    </cacheField>
    <cacheField name="Quantity" numFmtId="0">
      <sharedItems containsString="0" containsBlank="1" containsNumber="1" containsInteger="1" minValue="1" maxValue="19"/>
    </cacheField>
    <cacheField name="Discount" numFmtId="0">
      <sharedItems containsString="0" containsBlank="1" containsNumber="1" minValue="0" maxValue="0.2"/>
    </cacheField>
    <cacheField name="Order_Date" numFmtId="0">
      <sharedItems containsNonDate="0" containsDate="1" containsString="0" containsBlank="1" minDate="2024-04-10T00:00:00" maxDate="2025-04-08T00:00:00" count="149">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m/>
      </sharedItems>
      <fieldGroup par="12"/>
    </cacheField>
    <cacheField name="Profit" numFmtId="0">
      <sharedItems containsString="0" containsBlank="1" containsNumber="1" minValue="64.63" maxValue="769.46"/>
    </cacheField>
    <cacheField name="New discount" numFmtId="0">
      <sharedItems containsSemiMixedTypes="0" containsString="0" containsNumber="1" minValue="0" maxValue="0.15000000000000002"/>
    </cacheField>
    <cacheField name="estimated_profit" numFmtId="0">
      <sharedItems containsString="0" containsBlank="1" containsNumber="1" minValue="232.65899999999999" maxValue="1731.2940000000001"/>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46785952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07.610831481485" createdVersion="8" refreshedVersion="8" minRefreshableVersion="3" recordCount="201" xr:uid="{C0247A97-9062-46BD-B9B6-5DCD9EBEE7B7}">
  <cacheSource type="worksheet">
    <worksheetSource name="Table2"/>
  </cacheSource>
  <cacheFields count="12">
    <cacheField name="Customer_ID" numFmtId="0">
      <sharedItems containsBlank="1" count="31">
        <s v="CUST019"/>
        <s v="CUST012"/>
        <s v="CUST017"/>
        <s v="CUST005"/>
        <s v="CUST030"/>
        <s v="CUST007"/>
        <s v="CUST001"/>
        <s v="CUST026"/>
        <s v="CUST009"/>
        <s v="CUST010"/>
        <s v="CUST014"/>
        <s v="CUST023"/>
        <s v="CUST029"/>
        <s v="CUST008"/>
        <s v="CUST006"/>
        <s v="CUST022"/>
        <s v="CUST028"/>
        <s v="CUST025"/>
        <s v="CUST021"/>
        <s v="CUST015"/>
        <s v="CUST016"/>
        <s v="CUST011"/>
        <s v="CUST002"/>
        <s v="CUST003"/>
        <s v="CUST020"/>
        <s v="CUST024"/>
        <s v="CUST004"/>
        <s v="CUST013"/>
        <s v="CUST027"/>
        <s v="CUST018"/>
        <m/>
      </sharedItems>
    </cacheField>
    <cacheField name="Customer_Name" numFmtId="0">
      <sharedItems containsBlank="1"/>
    </cacheField>
    <cacheField name="Region" numFmtId="0">
      <sharedItems containsBlank="1"/>
    </cacheField>
    <cacheField name="Product_Category" numFmtId="0">
      <sharedItems containsBlank="1"/>
    </cacheField>
    <cacheField name="Sales" numFmtId="0">
      <sharedItems containsString="0" containsBlank="1" containsNumber="1" minValue="258.51" maxValue="1923.66" count="201">
        <n v="1036.0899999999999"/>
        <n v="1101.28"/>
        <n v="713.34"/>
        <n v="760.93"/>
        <n v="847"/>
        <n v="965.64"/>
        <n v="1317.53"/>
        <n v="1074.47"/>
        <n v="501.54"/>
        <n v="737.31"/>
        <n v="1572.82"/>
        <n v="1343.13"/>
        <n v="1191.58"/>
        <n v="822.28"/>
        <n v="521.66999999999996"/>
        <n v="1502.93"/>
        <n v="877.58"/>
        <n v="636.70000000000005"/>
        <n v="1506.14"/>
        <n v="645.02"/>
        <n v="953.3"/>
        <n v="388.56"/>
        <n v="743.17"/>
        <n v="706.37"/>
        <n v="925.31"/>
        <n v="1173.1199999999999"/>
        <n v="675.54"/>
        <n v="939.09"/>
        <n v="983.34"/>
        <n v="801.21"/>
        <n v="1450.71"/>
        <n v="1023.21"/>
        <n v="853.72"/>
        <n v="967.89"/>
        <n v="1200.9000000000001"/>
        <n v="472.38"/>
        <n v="840.92"/>
        <n v="1410.06"/>
        <n v="773.09"/>
        <n v="580.42999999999995"/>
        <n v="1151.21"/>
        <n v="1025.98"/>
        <n v="556.41999999999996"/>
        <n v="840.85"/>
        <n v="1227.25"/>
        <n v="856.7"/>
        <n v="1225.42"/>
        <n v="1001.57"/>
        <n v="1186.8499999999999"/>
        <n v="775.45"/>
        <n v="1021.47"/>
        <n v="1226.6199999999999"/>
        <n v="1086.93"/>
        <n v="942.9"/>
        <n v="818.8"/>
        <n v="919.04"/>
        <n v="973.26"/>
        <n v="741.61"/>
        <n v="1248.82"/>
        <n v="1360.36"/>
        <n v="1383.3"/>
        <n v="488.99"/>
        <n v="933.71"/>
        <n v="1005.53"/>
        <n v="1100.0999999999999"/>
        <n v="1034.7"/>
        <n v="876.44"/>
        <n v="1371.34"/>
        <n v="1020.26"/>
        <n v="804.81"/>
        <n v="608.66"/>
        <n v="981.2"/>
        <n v="539.77"/>
        <n v="804.45"/>
        <n v="1526.6"/>
        <n v="1215.26"/>
        <n v="1261.3399999999999"/>
        <n v="518.07000000000005"/>
        <n v="1111.3399999999999"/>
        <n v="1291.47"/>
        <n v="679.71"/>
        <n v="1143.69"/>
        <n v="790.08"/>
        <n v="1070.68"/>
        <n v="1168.8900000000001"/>
        <n v="1335.87"/>
        <n v="873.7"/>
        <n v="1443.98"/>
        <n v="1154.33"/>
        <n v="1264.49"/>
        <n v="1101.55"/>
        <n v="727.73"/>
        <n v="875.41"/>
        <n v="1158.94"/>
        <n v="966.3"/>
        <n v="917.48"/>
        <n v="1172.97"/>
        <n v="1205.82"/>
        <n v="826.93"/>
        <n v="902.19"/>
        <n v="585.97"/>
        <n v="990.19"/>
        <n v="1014.09"/>
        <n v="925.29"/>
        <n v="1286.54"/>
        <n v="961.62"/>
        <n v="1081.1400000000001"/>
        <n v="1923.66"/>
        <n v="728.71"/>
        <n v="1301.8900000000001"/>
        <n v="980.18"/>
        <n v="697.57"/>
        <n v="1193.6099999999999"/>
        <n v="771.02"/>
        <n v="661.09"/>
        <n v="688.83"/>
        <n v="1249.0999999999999"/>
        <n v="1014.22"/>
        <n v="1010.58"/>
        <n v="957.29"/>
        <n v="1077.92"/>
        <n v="1163.01"/>
        <n v="1014.56"/>
        <n v="718.04"/>
        <n v="1277.8499999999999"/>
        <n v="706.73"/>
        <n v="1410.59"/>
        <n v="1350.33"/>
        <n v="919.18"/>
        <n v="258.51"/>
        <n v="1213.48"/>
        <n v="1150.28"/>
        <n v="853.86"/>
        <n v="1061.04"/>
        <n v="894.55"/>
        <n v="833.91"/>
        <n v="820.19"/>
        <n v="511.74"/>
        <n v="806.03"/>
        <n v="1432.47"/>
        <n v="1488.58"/>
        <n v="1231.26"/>
        <n v="1161.67"/>
        <n v="388.23"/>
        <n v="1589.42"/>
        <n v="336.66"/>
        <n v="1353.79"/>
        <n v="662.61"/>
        <n v="309.42"/>
        <n v="884.63"/>
        <n v="745.05"/>
        <n v="870.23"/>
        <n v="862.19"/>
        <n v="1171.18"/>
        <n v="1054.56"/>
        <n v="1681.21"/>
        <n v="379.77"/>
        <n v="1076.33"/>
        <n v="1250.71"/>
        <n v="1118.3399999999999"/>
        <n v="1622.62"/>
        <n v="640.64"/>
        <n v="585.16"/>
        <n v="1109.98"/>
        <n v="1098.08"/>
        <n v="827.25"/>
        <n v="741.88"/>
        <n v="1311.26"/>
        <n v="573.32000000000005"/>
        <n v="1115.22"/>
        <n v="845.84"/>
        <n v="1029.8"/>
        <n v="1189.83"/>
        <n v="704.28"/>
        <n v="1618.22"/>
        <n v="1014.43"/>
        <n v="826.97"/>
        <n v="1022.23"/>
        <n v="1099.69"/>
        <n v="710.52"/>
        <n v="499.18"/>
        <n v="1064.19"/>
        <n v="438.76"/>
        <n v="864.98"/>
        <n v="984.93"/>
        <n v="1493.49"/>
        <n v="689.43"/>
        <n v="682.24"/>
        <n v="458.54"/>
        <n v="1184.25"/>
        <n v="762.14"/>
        <n v="750.71"/>
        <n v="1456.94"/>
        <n v="1093.3800000000001"/>
        <n v="934.27"/>
        <n v="1465.35"/>
        <n v="740.8"/>
        <n v="545.44000000000005"/>
        <n v="997.61"/>
        <n v="928.32"/>
        <m/>
      </sharedItems>
    </cacheField>
    <cacheField name="Quantity" numFmtId="0">
      <sharedItems containsString="0" containsBlank="1" containsNumber="1" containsInteger="1" minValue="1" maxValue="19"/>
    </cacheField>
    <cacheField name="Discount" numFmtId="0">
      <sharedItems containsString="0" containsBlank="1" containsNumber="1" minValue="0" maxValue="0.2"/>
    </cacheField>
    <cacheField name="Order_Date" numFmtId="0">
      <sharedItems containsNonDate="0" containsDate="1" containsString="0" containsBlank="1" minDate="2024-04-10T00:00:00" maxDate="2025-04-08T00:00:00"/>
    </cacheField>
    <cacheField name="Profit" numFmtId="0">
      <sharedItems containsString="0" containsBlank="1" containsNumber="1" minValue="64.63" maxValue="769.46"/>
    </cacheField>
    <cacheField name="New discount" numFmtId="0">
      <sharedItems containsSemiMixedTypes="0" containsString="0" containsNumber="1" minValue="0" maxValue="0.15000000000000002"/>
    </cacheField>
    <cacheField name="estimated_profit" numFmtId="0">
      <sharedItems containsString="0" containsBlank="1" containsNumber="1" minValue="92.52649999999997" maxValue="1189.83"/>
    </cacheField>
    <cacheField name="TOTAL" numFmtId="0">
      <sharedItems containsString="0" containsBlank="1" containsNumber="1" minValue="4386.41" maxValue="68287.01000000000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x v="0"/>
    <x v="0"/>
    <x v="0"/>
    <x v="0"/>
    <x v="0"/>
    <n v="4"/>
    <n v="0.2"/>
    <x v="0"/>
    <n v="331.55"/>
    <n v="0.15000000000000002"/>
    <n v="880.67649999999992"/>
  </r>
  <r>
    <x v="1"/>
    <x v="1"/>
    <x v="0"/>
    <x v="1"/>
    <x v="1"/>
    <n v="3"/>
    <n v="0.2"/>
    <x v="1"/>
    <n v="440.51"/>
    <n v="0.15000000000000002"/>
    <n v="936.08799999999997"/>
  </r>
  <r>
    <x v="2"/>
    <x v="2"/>
    <x v="1"/>
    <x v="0"/>
    <x v="2"/>
    <n v="17"/>
    <n v="0"/>
    <x v="2"/>
    <n v="285.33999999999997"/>
    <n v="0.15000000000000002"/>
    <n v="606.33900000000006"/>
  </r>
  <r>
    <x v="3"/>
    <x v="1"/>
    <x v="2"/>
    <x v="2"/>
    <x v="3"/>
    <n v="4"/>
    <n v="0.15"/>
    <x v="2"/>
    <n v="161.69999999999999"/>
    <n v="0"/>
    <n v="760.93"/>
  </r>
  <r>
    <x v="4"/>
    <x v="3"/>
    <x v="3"/>
    <x v="0"/>
    <x v="4"/>
    <n v="12"/>
    <n v="0.2"/>
    <x v="3"/>
    <n v="271.04000000000002"/>
    <n v="9.9999999999999992E-2"/>
    <n v="762.30000000000007"/>
  </r>
  <r>
    <x v="5"/>
    <x v="4"/>
    <x v="3"/>
    <x v="3"/>
    <x v="5"/>
    <n v="8"/>
    <n v="0.1"/>
    <x v="4"/>
    <n v="304.18"/>
    <n v="0.15000000000000002"/>
    <n v="820.79399999999998"/>
  </r>
  <r>
    <x v="6"/>
    <x v="5"/>
    <x v="0"/>
    <x v="2"/>
    <x v="6"/>
    <n v="12"/>
    <n v="0.05"/>
    <x v="4"/>
    <n v="312.91000000000003"/>
    <n v="0.05"/>
    <n v="1251.6534999999999"/>
  </r>
  <r>
    <x v="7"/>
    <x v="6"/>
    <x v="1"/>
    <x v="3"/>
    <x v="7"/>
    <n v="6"/>
    <n v="0.2"/>
    <x v="5"/>
    <n v="300.85000000000002"/>
    <n v="0"/>
    <n v="1074.47"/>
  </r>
  <r>
    <x v="8"/>
    <x v="7"/>
    <x v="4"/>
    <x v="0"/>
    <x v="8"/>
    <n v="11"/>
    <n v="0.05"/>
    <x v="5"/>
    <n v="190.59"/>
    <n v="0.15000000000000002"/>
    <n v="426.30900000000003"/>
  </r>
  <r>
    <x v="9"/>
    <x v="8"/>
    <x v="4"/>
    <x v="1"/>
    <x v="9"/>
    <n v="2"/>
    <n v="0.05"/>
    <x v="5"/>
    <n v="350.22"/>
    <n v="0"/>
    <n v="737.31"/>
  </r>
  <r>
    <x v="10"/>
    <x v="9"/>
    <x v="0"/>
    <x v="4"/>
    <x v="10"/>
    <n v="6"/>
    <n v="0.05"/>
    <x v="6"/>
    <n v="672.38"/>
    <n v="0"/>
    <n v="1572.82"/>
  </r>
  <r>
    <x v="10"/>
    <x v="8"/>
    <x v="4"/>
    <x v="0"/>
    <x v="11"/>
    <n v="14"/>
    <n v="0.15"/>
    <x v="7"/>
    <n v="456.66"/>
    <n v="0"/>
    <n v="1343.13"/>
  </r>
  <r>
    <x v="5"/>
    <x v="4"/>
    <x v="4"/>
    <x v="0"/>
    <x v="12"/>
    <n v="14"/>
    <n v="0.05"/>
    <x v="8"/>
    <n v="452.8"/>
    <n v="9.9999999999999992E-2"/>
    <n v="1072.422"/>
  </r>
  <r>
    <x v="11"/>
    <x v="1"/>
    <x v="0"/>
    <x v="3"/>
    <x v="13"/>
    <n v="7"/>
    <n v="0.05"/>
    <x v="8"/>
    <n v="273.41000000000003"/>
    <n v="0"/>
    <n v="822.28"/>
  </r>
  <r>
    <x v="12"/>
    <x v="10"/>
    <x v="3"/>
    <x v="3"/>
    <x v="14"/>
    <n v="15"/>
    <n v="0.15"/>
    <x v="9"/>
    <n v="155.19999999999999"/>
    <n v="0"/>
    <n v="521.66999999999996"/>
  </r>
  <r>
    <x v="3"/>
    <x v="11"/>
    <x v="2"/>
    <x v="2"/>
    <x v="15"/>
    <n v="14"/>
    <n v="0.2"/>
    <x v="10"/>
    <n v="300.58999999999997"/>
    <n v="9.9999999999999992E-2"/>
    <n v="1352.6370000000002"/>
  </r>
  <r>
    <x v="13"/>
    <x v="1"/>
    <x v="2"/>
    <x v="0"/>
    <x v="16"/>
    <n v="10"/>
    <n v="0.15"/>
    <x v="11"/>
    <n v="298.38"/>
    <n v="0.15000000000000002"/>
    <n v="745.94299999999998"/>
  </r>
  <r>
    <x v="6"/>
    <x v="12"/>
    <x v="0"/>
    <x v="0"/>
    <x v="17"/>
    <n v="4"/>
    <n v="0.2"/>
    <x v="11"/>
    <n v="203.74"/>
    <n v="9.9999999999999992E-2"/>
    <n v="573.03000000000009"/>
  </r>
  <r>
    <x v="14"/>
    <x v="13"/>
    <x v="0"/>
    <x v="0"/>
    <x v="18"/>
    <n v="13"/>
    <n v="0.2"/>
    <x v="12"/>
    <n v="481.96"/>
    <n v="0.15000000000000002"/>
    <n v="1280.2190000000001"/>
  </r>
  <r>
    <x v="7"/>
    <x v="6"/>
    <x v="4"/>
    <x v="2"/>
    <x v="19"/>
    <n v="4"/>
    <n v="0"/>
    <x v="13"/>
    <n v="161.26"/>
    <n v="0.15000000000000002"/>
    <n v="548.26699999999994"/>
  </r>
  <r>
    <x v="5"/>
    <x v="14"/>
    <x v="2"/>
    <x v="1"/>
    <x v="20"/>
    <n v="11"/>
    <n v="0"/>
    <x v="14"/>
    <n v="476.65"/>
    <n v="0"/>
    <n v="953.3"/>
  </r>
  <r>
    <x v="15"/>
    <x v="1"/>
    <x v="3"/>
    <x v="2"/>
    <x v="21"/>
    <n v="14"/>
    <n v="0.15"/>
    <x v="15"/>
    <n v="82.57"/>
    <n v="0"/>
    <n v="388.56"/>
  </r>
  <r>
    <x v="0"/>
    <x v="6"/>
    <x v="0"/>
    <x v="0"/>
    <x v="22"/>
    <n v="9"/>
    <n v="0"/>
    <x v="15"/>
    <n v="297.27"/>
    <n v="9.9999999999999992E-2"/>
    <n v="668.85299999999995"/>
  </r>
  <r>
    <x v="11"/>
    <x v="6"/>
    <x v="4"/>
    <x v="2"/>
    <x v="23"/>
    <n v="6"/>
    <n v="0"/>
    <x v="15"/>
    <n v="176.59"/>
    <n v="0"/>
    <n v="706.37"/>
  </r>
  <r>
    <x v="1"/>
    <x v="6"/>
    <x v="4"/>
    <x v="4"/>
    <x v="24"/>
    <n v="8"/>
    <n v="0.1"/>
    <x v="16"/>
    <n v="374.75"/>
    <n v="0"/>
    <n v="925.31"/>
  </r>
  <r>
    <x v="9"/>
    <x v="15"/>
    <x v="2"/>
    <x v="2"/>
    <x v="25"/>
    <n v="18"/>
    <n v="0"/>
    <x v="16"/>
    <n v="293.27999999999997"/>
    <n v="0.05"/>
    <n v="1114.4639999999999"/>
  </r>
  <r>
    <x v="4"/>
    <x v="16"/>
    <x v="3"/>
    <x v="3"/>
    <x v="26"/>
    <n v="17"/>
    <n v="0"/>
    <x v="17"/>
    <n v="236.44"/>
    <n v="0"/>
    <n v="675.54"/>
  </r>
  <r>
    <x v="5"/>
    <x v="1"/>
    <x v="4"/>
    <x v="0"/>
    <x v="27"/>
    <n v="2"/>
    <n v="0.05"/>
    <x v="18"/>
    <n v="356.85"/>
    <n v="0"/>
    <n v="939.09"/>
  </r>
  <r>
    <x v="16"/>
    <x v="17"/>
    <x v="1"/>
    <x v="4"/>
    <x v="28"/>
    <n v="19"/>
    <n v="0.1"/>
    <x v="19"/>
    <n v="398.25"/>
    <n v="0"/>
    <n v="983.34"/>
  </r>
  <r>
    <x v="16"/>
    <x v="3"/>
    <x v="2"/>
    <x v="2"/>
    <x v="29"/>
    <n v="3"/>
    <n v="0.2"/>
    <x v="19"/>
    <n v="160.24"/>
    <n v="0.05"/>
    <n v="761.14949999999999"/>
  </r>
  <r>
    <x v="17"/>
    <x v="18"/>
    <x v="3"/>
    <x v="2"/>
    <x v="30"/>
    <n v="5"/>
    <n v="0.1"/>
    <x v="20"/>
    <n v="326.41000000000003"/>
    <n v="0.15000000000000002"/>
    <n v="1233.1034999999999"/>
  </r>
  <r>
    <x v="15"/>
    <x v="19"/>
    <x v="4"/>
    <x v="0"/>
    <x v="31"/>
    <n v="18"/>
    <n v="0.05"/>
    <x v="21"/>
    <n v="388.82"/>
    <n v="0.05"/>
    <n v="972.04949999999997"/>
  </r>
  <r>
    <x v="6"/>
    <x v="13"/>
    <x v="0"/>
    <x v="3"/>
    <x v="32"/>
    <n v="5"/>
    <n v="0.15"/>
    <x v="21"/>
    <n v="253.98"/>
    <n v="0"/>
    <n v="853.72"/>
  </r>
  <r>
    <x v="18"/>
    <x v="11"/>
    <x v="2"/>
    <x v="2"/>
    <x v="33"/>
    <n v="10"/>
    <n v="0.1"/>
    <x v="22"/>
    <n v="217.78"/>
    <n v="9.9999999999999992E-2"/>
    <n v="871.101"/>
  </r>
  <r>
    <x v="19"/>
    <x v="17"/>
    <x v="3"/>
    <x v="4"/>
    <x v="34"/>
    <n v="14"/>
    <n v="0.05"/>
    <x v="22"/>
    <n v="513.38"/>
    <n v="0.05"/>
    <n v="1140.855"/>
  </r>
  <r>
    <x v="1"/>
    <x v="4"/>
    <x v="0"/>
    <x v="0"/>
    <x v="35"/>
    <n v="12"/>
    <n v="0.2"/>
    <x v="22"/>
    <n v="151.16"/>
    <n v="0"/>
    <n v="472.38"/>
  </r>
  <r>
    <x v="0"/>
    <x v="18"/>
    <x v="1"/>
    <x v="4"/>
    <x v="36"/>
    <n v="9"/>
    <n v="0.05"/>
    <x v="22"/>
    <n v="359.49"/>
    <n v="0.15000000000000002"/>
    <n v="714.78199999999993"/>
  </r>
  <r>
    <x v="16"/>
    <x v="14"/>
    <x v="4"/>
    <x v="3"/>
    <x v="37"/>
    <n v="11"/>
    <n v="0.05"/>
    <x v="23"/>
    <n v="468.84"/>
    <n v="0"/>
    <n v="1410.06"/>
  </r>
  <r>
    <x v="13"/>
    <x v="20"/>
    <x v="4"/>
    <x v="3"/>
    <x v="38"/>
    <n v="13"/>
    <n v="0.15"/>
    <x v="23"/>
    <n v="229.99"/>
    <n v="0"/>
    <n v="773.09"/>
  </r>
  <r>
    <x v="20"/>
    <x v="21"/>
    <x v="1"/>
    <x v="0"/>
    <x v="39"/>
    <n v="19"/>
    <n v="0.15"/>
    <x v="24"/>
    <n v="197.35"/>
    <n v="9.9999999999999992E-2"/>
    <n v="522.38699999999994"/>
  </r>
  <r>
    <x v="3"/>
    <x v="10"/>
    <x v="2"/>
    <x v="0"/>
    <x v="40"/>
    <n v="15"/>
    <n v="0.1"/>
    <x v="25"/>
    <n v="414.44"/>
    <n v="9.9999999999999992E-2"/>
    <n v="1036.0890000000002"/>
  </r>
  <r>
    <x v="16"/>
    <x v="3"/>
    <x v="4"/>
    <x v="4"/>
    <x v="41"/>
    <n v="5"/>
    <n v="0.2"/>
    <x v="26"/>
    <n v="369.35"/>
    <n v="0.05"/>
    <n v="974.68099999999993"/>
  </r>
  <r>
    <x v="11"/>
    <x v="19"/>
    <x v="1"/>
    <x v="4"/>
    <x v="42"/>
    <n v="11"/>
    <n v="0.15"/>
    <x v="26"/>
    <n v="212.83"/>
    <n v="0.15000000000000002"/>
    <n v="472.95699999999994"/>
  </r>
  <r>
    <x v="18"/>
    <x v="3"/>
    <x v="4"/>
    <x v="0"/>
    <x v="43"/>
    <n v="19"/>
    <n v="0.1"/>
    <x v="27"/>
    <n v="302.70999999999998"/>
    <n v="9.9999999999999992E-2"/>
    <n v="756.76499999999999"/>
  </r>
  <r>
    <x v="7"/>
    <x v="21"/>
    <x v="3"/>
    <x v="3"/>
    <x v="44"/>
    <n v="12"/>
    <n v="0.15"/>
    <x v="27"/>
    <n v="365.11"/>
    <n v="0.05"/>
    <n v="1165.8875"/>
  </r>
  <r>
    <x v="2"/>
    <x v="22"/>
    <x v="4"/>
    <x v="2"/>
    <x v="45"/>
    <n v="2"/>
    <n v="0"/>
    <x v="28"/>
    <n v="214.18"/>
    <n v="9.9999999999999992E-2"/>
    <n v="771.03000000000009"/>
  </r>
  <r>
    <x v="17"/>
    <x v="19"/>
    <x v="4"/>
    <x v="4"/>
    <x v="46"/>
    <n v="8"/>
    <n v="0.15"/>
    <x v="28"/>
    <n v="468.72"/>
    <n v="0"/>
    <n v="1225.42"/>
  </r>
  <r>
    <x v="21"/>
    <x v="6"/>
    <x v="3"/>
    <x v="4"/>
    <x v="47"/>
    <n v="12"/>
    <n v="0"/>
    <x v="29"/>
    <n v="450.71"/>
    <n v="9.9999999999999992E-2"/>
    <n v="901.41300000000001"/>
  </r>
  <r>
    <x v="18"/>
    <x v="4"/>
    <x v="1"/>
    <x v="3"/>
    <x v="48"/>
    <n v="19"/>
    <n v="0.2"/>
    <x v="30"/>
    <n v="332.32"/>
    <n v="0"/>
    <n v="1186.8499999999999"/>
  </r>
  <r>
    <x v="13"/>
    <x v="16"/>
    <x v="2"/>
    <x v="2"/>
    <x v="49"/>
    <n v="6"/>
    <n v="0.1"/>
    <x v="31"/>
    <n v="174.48"/>
    <n v="0.15000000000000002"/>
    <n v="659.13250000000005"/>
  </r>
  <r>
    <x v="5"/>
    <x v="7"/>
    <x v="2"/>
    <x v="2"/>
    <x v="50"/>
    <n v="6"/>
    <n v="0.05"/>
    <x v="32"/>
    <n v="242.6"/>
    <n v="0.05"/>
    <n v="970.39649999999995"/>
  </r>
  <r>
    <x v="19"/>
    <x v="3"/>
    <x v="2"/>
    <x v="1"/>
    <x v="51"/>
    <n v="7"/>
    <n v="0.1"/>
    <x v="33"/>
    <n v="551.98"/>
    <n v="0"/>
    <n v="1226.6199999999999"/>
  </r>
  <r>
    <x v="4"/>
    <x v="23"/>
    <x v="2"/>
    <x v="3"/>
    <x v="52"/>
    <n v="2"/>
    <n v="0"/>
    <x v="34"/>
    <n v="380.43"/>
    <n v="0.05"/>
    <n v="1032.5835"/>
  </r>
  <r>
    <x v="22"/>
    <x v="14"/>
    <x v="0"/>
    <x v="0"/>
    <x v="53"/>
    <n v="18"/>
    <n v="0.1"/>
    <x v="35"/>
    <n v="339.44"/>
    <n v="0"/>
    <n v="942.9"/>
  </r>
  <r>
    <x v="8"/>
    <x v="9"/>
    <x v="3"/>
    <x v="2"/>
    <x v="54"/>
    <n v="15"/>
    <n v="0.15"/>
    <x v="36"/>
    <n v="173.99"/>
    <n v="0.05"/>
    <n v="777.8599999999999"/>
  </r>
  <r>
    <x v="3"/>
    <x v="1"/>
    <x v="2"/>
    <x v="3"/>
    <x v="55"/>
    <n v="10"/>
    <n v="0.2"/>
    <x v="36"/>
    <n v="257.33"/>
    <n v="9.9999999999999992E-2"/>
    <n v="827.13599999999997"/>
  </r>
  <r>
    <x v="4"/>
    <x v="24"/>
    <x v="4"/>
    <x v="0"/>
    <x v="56"/>
    <n v="11"/>
    <n v="0"/>
    <x v="37"/>
    <n v="389.3"/>
    <n v="0.15000000000000002"/>
    <n v="827.27099999999996"/>
  </r>
  <r>
    <x v="12"/>
    <x v="23"/>
    <x v="3"/>
    <x v="2"/>
    <x v="57"/>
    <n v="1"/>
    <n v="0.2"/>
    <x v="38"/>
    <n v="148.32"/>
    <n v="0"/>
    <n v="741.61"/>
  </r>
  <r>
    <x v="23"/>
    <x v="9"/>
    <x v="3"/>
    <x v="0"/>
    <x v="58"/>
    <n v="2"/>
    <n v="0.1"/>
    <x v="39"/>
    <n v="449.58"/>
    <n v="0.15000000000000002"/>
    <n v="1061.4969999999998"/>
  </r>
  <r>
    <x v="1"/>
    <x v="20"/>
    <x v="0"/>
    <x v="1"/>
    <x v="59"/>
    <n v="17"/>
    <n v="0"/>
    <x v="39"/>
    <n v="680.18"/>
    <n v="0.05"/>
    <n v="1292.3419999999999"/>
  </r>
  <r>
    <x v="18"/>
    <x v="6"/>
    <x v="1"/>
    <x v="0"/>
    <x v="60"/>
    <n v="8"/>
    <n v="0.1"/>
    <x v="40"/>
    <n v="497.99"/>
    <n v="0"/>
    <n v="1383.3"/>
  </r>
  <r>
    <x v="9"/>
    <x v="18"/>
    <x v="4"/>
    <x v="4"/>
    <x v="61"/>
    <n v="9"/>
    <n v="0"/>
    <x v="41"/>
    <n v="220.05"/>
    <n v="0.05"/>
    <n v="464.54050000000001"/>
  </r>
  <r>
    <x v="7"/>
    <x v="6"/>
    <x v="1"/>
    <x v="3"/>
    <x v="62"/>
    <n v="17"/>
    <n v="0.1"/>
    <x v="42"/>
    <n v="294.12"/>
    <n v="0"/>
    <n v="933.71"/>
  </r>
  <r>
    <x v="23"/>
    <x v="0"/>
    <x v="0"/>
    <x v="2"/>
    <x v="63"/>
    <n v="17"/>
    <n v="0.2"/>
    <x v="42"/>
    <n v="201.11"/>
    <n v="0.05"/>
    <n v="955.25349999999992"/>
  </r>
  <r>
    <x v="12"/>
    <x v="21"/>
    <x v="2"/>
    <x v="2"/>
    <x v="64"/>
    <n v="5"/>
    <n v="0.05"/>
    <x v="43"/>
    <n v="261.27"/>
    <n v="0.15000000000000002"/>
    <n v="935.08499999999992"/>
  </r>
  <r>
    <x v="23"/>
    <x v="3"/>
    <x v="3"/>
    <x v="3"/>
    <x v="65"/>
    <n v="15"/>
    <n v="0.15"/>
    <x v="44"/>
    <n v="307.82"/>
    <n v="0"/>
    <n v="1034.7"/>
  </r>
  <r>
    <x v="22"/>
    <x v="6"/>
    <x v="2"/>
    <x v="0"/>
    <x v="66"/>
    <n v="12"/>
    <n v="0.05"/>
    <x v="45"/>
    <n v="333.05"/>
    <n v="9.9999999999999992E-2"/>
    <n v="788.79600000000005"/>
  </r>
  <r>
    <x v="24"/>
    <x v="18"/>
    <x v="0"/>
    <x v="3"/>
    <x v="67"/>
    <n v="5"/>
    <n v="0.05"/>
    <x v="45"/>
    <n v="455.97"/>
    <n v="0"/>
    <n v="1371.34"/>
  </r>
  <r>
    <x v="18"/>
    <x v="13"/>
    <x v="3"/>
    <x v="2"/>
    <x v="68"/>
    <n v="11"/>
    <n v="0.05"/>
    <x v="46"/>
    <n v="242.31"/>
    <n v="0"/>
    <n v="1020.26"/>
  </r>
  <r>
    <x v="13"/>
    <x v="0"/>
    <x v="4"/>
    <x v="4"/>
    <x v="69"/>
    <n v="1"/>
    <n v="0.05"/>
    <x v="47"/>
    <n v="344.06"/>
    <n v="0"/>
    <n v="804.81"/>
  </r>
  <r>
    <x v="4"/>
    <x v="18"/>
    <x v="4"/>
    <x v="2"/>
    <x v="70"/>
    <n v="1"/>
    <n v="0.05"/>
    <x v="48"/>
    <n v="144.56"/>
    <n v="0"/>
    <n v="608.66"/>
  </r>
  <r>
    <x v="24"/>
    <x v="25"/>
    <x v="2"/>
    <x v="4"/>
    <x v="71"/>
    <n v="19"/>
    <n v="0"/>
    <x v="49"/>
    <n v="441.54"/>
    <n v="0"/>
    <n v="981.2"/>
  </r>
  <r>
    <x v="25"/>
    <x v="18"/>
    <x v="1"/>
    <x v="2"/>
    <x v="72"/>
    <n v="10"/>
    <n v="0.15"/>
    <x v="50"/>
    <n v="114.7"/>
    <n v="0"/>
    <n v="539.77"/>
  </r>
  <r>
    <x v="1"/>
    <x v="26"/>
    <x v="2"/>
    <x v="0"/>
    <x v="73"/>
    <n v="5"/>
    <n v="0.2"/>
    <x v="50"/>
    <n v="257.42"/>
    <n v="9.9999999999999992E-2"/>
    <n v="724.00500000000011"/>
  </r>
  <r>
    <x v="25"/>
    <x v="9"/>
    <x v="0"/>
    <x v="2"/>
    <x v="74"/>
    <n v="13"/>
    <n v="0.2"/>
    <x v="51"/>
    <n v="305.32"/>
    <n v="0.15000000000000002"/>
    <n v="1297.6099999999999"/>
  </r>
  <r>
    <x v="1"/>
    <x v="5"/>
    <x v="0"/>
    <x v="2"/>
    <x v="75"/>
    <n v="5"/>
    <n v="0.15"/>
    <x v="52"/>
    <n v="258.24"/>
    <n v="0.15000000000000002"/>
    <n v="1032.971"/>
  </r>
  <r>
    <x v="3"/>
    <x v="17"/>
    <x v="4"/>
    <x v="3"/>
    <x v="76"/>
    <n v="3"/>
    <n v="0"/>
    <x v="53"/>
    <n v="441.47"/>
    <n v="9.9999999999999992E-2"/>
    <n v="1135.2059999999999"/>
  </r>
  <r>
    <x v="26"/>
    <x v="12"/>
    <x v="3"/>
    <x v="3"/>
    <x v="77"/>
    <n v="7"/>
    <n v="0.05"/>
    <x v="54"/>
    <n v="172.26"/>
    <n v="0"/>
    <n v="518.07000000000005"/>
  </r>
  <r>
    <x v="7"/>
    <x v="5"/>
    <x v="0"/>
    <x v="4"/>
    <x v="78"/>
    <n v="1"/>
    <n v="0"/>
    <x v="55"/>
    <n v="500.1"/>
    <n v="0"/>
    <n v="1111.3399999999999"/>
  </r>
  <r>
    <x v="4"/>
    <x v="6"/>
    <x v="1"/>
    <x v="1"/>
    <x v="79"/>
    <n v="18"/>
    <n v="0.1"/>
    <x v="56"/>
    <n v="581.16"/>
    <n v="0"/>
    <n v="1291.47"/>
  </r>
  <r>
    <x v="5"/>
    <x v="18"/>
    <x v="3"/>
    <x v="0"/>
    <x v="80"/>
    <n v="19"/>
    <n v="0"/>
    <x v="57"/>
    <n v="271.88"/>
    <n v="0.05"/>
    <n v="645.72450000000003"/>
  </r>
  <r>
    <x v="24"/>
    <x v="7"/>
    <x v="1"/>
    <x v="3"/>
    <x v="81"/>
    <n v="17"/>
    <n v="0"/>
    <x v="57"/>
    <n v="400.29"/>
    <n v="0"/>
    <n v="1143.69"/>
  </r>
  <r>
    <x v="16"/>
    <x v="15"/>
    <x v="4"/>
    <x v="2"/>
    <x v="82"/>
    <n v="7"/>
    <n v="0.1"/>
    <x v="58"/>
    <n v="177.77"/>
    <n v="0"/>
    <n v="790.08"/>
  </r>
  <r>
    <x v="3"/>
    <x v="14"/>
    <x v="4"/>
    <x v="0"/>
    <x v="83"/>
    <n v="7"/>
    <n v="0.05"/>
    <x v="58"/>
    <n v="406.86"/>
    <n v="0.05"/>
    <n v="1017.146"/>
  </r>
  <r>
    <x v="19"/>
    <x v="8"/>
    <x v="0"/>
    <x v="1"/>
    <x v="84"/>
    <n v="4"/>
    <n v="0.1"/>
    <x v="59"/>
    <n v="526"/>
    <n v="0"/>
    <n v="1168.8900000000001"/>
  </r>
  <r>
    <x v="23"/>
    <x v="0"/>
    <x v="2"/>
    <x v="2"/>
    <x v="85"/>
    <n v="17"/>
    <n v="0"/>
    <x v="59"/>
    <n v="333.97"/>
    <n v="0.05"/>
    <n v="1269.0764999999999"/>
  </r>
  <r>
    <x v="11"/>
    <x v="18"/>
    <x v="1"/>
    <x v="3"/>
    <x v="86"/>
    <n v="9"/>
    <n v="0"/>
    <x v="60"/>
    <n v="305.8"/>
    <n v="0"/>
    <n v="873.7"/>
  </r>
  <r>
    <x v="26"/>
    <x v="23"/>
    <x v="0"/>
    <x v="4"/>
    <x v="87"/>
    <n v="19"/>
    <n v="0"/>
    <x v="61"/>
    <n v="649.79"/>
    <n v="0"/>
    <n v="1443.98"/>
  </r>
  <r>
    <x v="11"/>
    <x v="3"/>
    <x v="1"/>
    <x v="4"/>
    <x v="88"/>
    <n v="11"/>
    <n v="0.15"/>
    <x v="62"/>
    <n v="441.53"/>
    <n v="0"/>
    <n v="1154.33"/>
  </r>
  <r>
    <x v="15"/>
    <x v="15"/>
    <x v="2"/>
    <x v="0"/>
    <x v="89"/>
    <n v="16"/>
    <n v="0.05"/>
    <x v="62"/>
    <n v="480.51"/>
    <n v="9.9999999999999992E-2"/>
    <n v="1138.0409999999999"/>
  </r>
  <r>
    <x v="5"/>
    <x v="24"/>
    <x v="0"/>
    <x v="3"/>
    <x v="90"/>
    <n v="4"/>
    <n v="0.1"/>
    <x v="63"/>
    <n v="346.99"/>
    <n v="0"/>
    <n v="1101.55"/>
  </r>
  <r>
    <x v="27"/>
    <x v="1"/>
    <x v="2"/>
    <x v="3"/>
    <x v="91"/>
    <n v="1"/>
    <n v="0.1"/>
    <x v="64"/>
    <n v="229.23"/>
    <n v="0.05"/>
    <n v="691.34349999999995"/>
  </r>
  <r>
    <x v="28"/>
    <x v="9"/>
    <x v="1"/>
    <x v="4"/>
    <x v="92"/>
    <n v="13"/>
    <n v="0.15"/>
    <x v="64"/>
    <n v="334.84"/>
    <n v="0.05"/>
    <n v="831.63949999999988"/>
  </r>
  <r>
    <x v="23"/>
    <x v="3"/>
    <x v="0"/>
    <x v="2"/>
    <x v="93"/>
    <n v="19"/>
    <n v="0.2"/>
    <x v="65"/>
    <n v="231.79"/>
    <n v="9.9999999999999992E-2"/>
    <n v="1043.046"/>
  </r>
  <r>
    <x v="29"/>
    <x v="13"/>
    <x v="2"/>
    <x v="0"/>
    <x v="94"/>
    <n v="2"/>
    <n v="0.15"/>
    <x v="66"/>
    <n v="328.54"/>
    <n v="0.15000000000000002"/>
    <n v="821.3549999999999"/>
  </r>
  <r>
    <x v="24"/>
    <x v="2"/>
    <x v="2"/>
    <x v="0"/>
    <x v="95"/>
    <n v="6"/>
    <n v="0"/>
    <x v="67"/>
    <n v="366.99"/>
    <n v="9.9999999999999992E-2"/>
    <n v="825.73200000000008"/>
  </r>
  <r>
    <x v="12"/>
    <x v="21"/>
    <x v="0"/>
    <x v="3"/>
    <x v="96"/>
    <n v="7"/>
    <n v="0.15"/>
    <x v="68"/>
    <n v="348.96"/>
    <n v="0"/>
    <n v="1172.97"/>
  </r>
  <r>
    <x v="18"/>
    <x v="3"/>
    <x v="3"/>
    <x v="1"/>
    <x v="97"/>
    <n v="11"/>
    <n v="0.1"/>
    <x v="68"/>
    <n v="542.62"/>
    <n v="9.9999999999999992E-2"/>
    <n v="1085.2380000000001"/>
  </r>
  <r>
    <x v="2"/>
    <x v="23"/>
    <x v="0"/>
    <x v="4"/>
    <x v="98"/>
    <n v="10"/>
    <n v="0.2"/>
    <x v="69"/>
    <n v="297.69"/>
    <n v="0.05"/>
    <n v="785.58349999999996"/>
  </r>
  <r>
    <x v="23"/>
    <x v="3"/>
    <x v="4"/>
    <x v="1"/>
    <x v="99"/>
    <n v="12"/>
    <n v="0"/>
    <x v="69"/>
    <n v="451.1"/>
    <n v="0.15000000000000002"/>
    <n v="766.86149999999998"/>
  </r>
  <r>
    <x v="28"/>
    <x v="9"/>
    <x v="3"/>
    <x v="0"/>
    <x v="100"/>
    <n v="17"/>
    <n v="0.1"/>
    <x v="70"/>
    <n v="210.95"/>
    <n v="0"/>
    <n v="585.97"/>
  </r>
  <r>
    <x v="20"/>
    <x v="4"/>
    <x v="3"/>
    <x v="1"/>
    <x v="101"/>
    <n v="8"/>
    <n v="0.1"/>
    <x v="70"/>
    <n v="445.59"/>
    <n v="0.05"/>
    <n v="940.68050000000005"/>
  </r>
  <r>
    <x v="13"/>
    <x v="19"/>
    <x v="4"/>
    <x v="2"/>
    <x v="102"/>
    <n v="13"/>
    <n v="0.2"/>
    <x v="71"/>
    <n v="202.82"/>
    <n v="0.05"/>
    <n v="963.38549999999998"/>
  </r>
  <r>
    <x v="1"/>
    <x v="14"/>
    <x v="3"/>
    <x v="2"/>
    <x v="103"/>
    <n v="17"/>
    <n v="0"/>
    <x v="72"/>
    <n v="231.32"/>
    <n v="0.15000000000000002"/>
    <n v="786.49649999999997"/>
  </r>
  <r>
    <x v="17"/>
    <x v="13"/>
    <x v="1"/>
    <x v="3"/>
    <x v="104"/>
    <n v="8"/>
    <n v="0"/>
    <x v="73"/>
    <n v="450.29"/>
    <n v="0"/>
    <n v="1286.54"/>
  </r>
  <r>
    <x v="10"/>
    <x v="23"/>
    <x v="2"/>
    <x v="0"/>
    <x v="105"/>
    <n v="8"/>
    <n v="0.2"/>
    <x v="74"/>
    <n v="307.72000000000003"/>
    <n v="0"/>
    <n v="961.62"/>
  </r>
  <r>
    <x v="13"/>
    <x v="3"/>
    <x v="1"/>
    <x v="0"/>
    <x v="106"/>
    <n v="19"/>
    <n v="0.15"/>
    <x v="74"/>
    <n v="367.59"/>
    <n v="0.15000000000000002"/>
    <n v="918.96900000000005"/>
  </r>
  <r>
    <x v="19"/>
    <x v="3"/>
    <x v="0"/>
    <x v="1"/>
    <x v="107"/>
    <n v="9"/>
    <n v="0.2"/>
    <x v="75"/>
    <n v="769.46"/>
    <n v="9.9999999999999992E-2"/>
    <n v="1731.2940000000001"/>
  </r>
  <r>
    <x v="17"/>
    <x v="24"/>
    <x v="4"/>
    <x v="1"/>
    <x v="108"/>
    <n v="14"/>
    <n v="0.1"/>
    <x v="76"/>
    <n v="327.92"/>
    <n v="0.15000000000000002"/>
    <n v="619.40350000000001"/>
  </r>
  <r>
    <x v="0"/>
    <x v="7"/>
    <x v="4"/>
    <x v="1"/>
    <x v="109"/>
    <n v="7"/>
    <n v="0.15"/>
    <x v="76"/>
    <n v="553.29999999999995"/>
    <n v="0.05"/>
    <n v="1236.7954999999999"/>
  </r>
  <r>
    <x v="25"/>
    <x v="24"/>
    <x v="1"/>
    <x v="0"/>
    <x v="110"/>
    <n v="16"/>
    <n v="0.1"/>
    <x v="77"/>
    <n v="352.86"/>
    <n v="9.9999999999999992E-2"/>
    <n v="882.16199999999992"/>
  </r>
  <r>
    <x v="28"/>
    <x v="3"/>
    <x v="0"/>
    <x v="1"/>
    <x v="111"/>
    <n v="17"/>
    <n v="0.1"/>
    <x v="78"/>
    <n v="313.91000000000003"/>
    <n v="0.05"/>
    <n v="662.69150000000002"/>
  </r>
  <r>
    <x v="14"/>
    <x v="26"/>
    <x v="0"/>
    <x v="3"/>
    <x v="112"/>
    <n v="1"/>
    <n v="0.15"/>
    <x v="78"/>
    <n v="355.1"/>
    <n v="0.05"/>
    <n v="1133.9295"/>
  </r>
  <r>
    <x v="8"/>
    <x v="9"/>
    <x v="2"/>
    <x v="2"/>
    <x v="113"/>
    <n v="1"/>
    <n v="0"/>
    <x v="79"/>
    <n v="192.76"/>
    <n v="9.9999999999999992E-2"/>
    <n v="693.91800000000001"/>
  </r>
  <r>
    <x v="23"/>
    <x v="25"/>
    <x v="3"/>
    <x v="1"/>
    <x v="114"/>
    <n v="1"/>
    <n v="0.2"/>
    <x v="80"/>
    <n v="264.44"/>
    <n v="0"/>
    <n v="661.09"/>
  </r>
  <r>
    <x v="1"/>
    <x v="18"/>
    <x v="0"/>
    <x v="2"/>
    <x v="115"/>
    <n v="15"/>
    <n v="0"/>
    <x v="81"/>
    <n v="172.21"/>
    <n v="0.15000000000000002"/>
    <n v="585.50549999999998"/>
  </r>
  <r>
    <x v="27"/>
    <x v="5"/>
    <x v="4"/>
    <x v="0"/>
    <x v="116"/>
    <n v="4"/>
    <n v="0.05"/>
    <x v="82"/>
    <n v="474.66"/>
    <n v="0"/>
    <n v="1249.0999999999999"/>
  </r>
  <r>
    <x v="13"/>
    <x v="3"/>
    <x v="1"/>
    <x v="4"/>
    <x v="117"/>
    <n v="14"/>
    <n v="0.05"/>
    <x v="83"/>
    <n v="433.58"/>
    <n v="0"/>
    <n v="1014.22"/>
  </r>
  <r>
    <x v="17"/>
    <x v="14"/>
    <x v="1"/>
    <x v="0"/>
    <x v="118"/>
    <n v="2"/>
    <n v="0.15"/>
    <x v="84"/>
    <n v="343.6"/>
    <n v="0"/>
    <n v="1010.58"/>
  </r>
  <r>
    <x v="7"/>
    <x v="20"/>
    <x v="3"/>
    <x v="3"/>
    <x v="119"/>
    <n v="4"/>
    <n v="0.05"/>
    <x v="84"/>
    <n v="318.3"/>
    <n v="9.9999999999999992E-2"/>
    <n v="861.56100000000004"/>
  </r>
  <r>
    <x v="6"/>
    <x v="12"/>
    <x v="3"/>
    <x v="3"/>
    <x v="120"/>
    <n v="3"/>
    <n v="0.05"/>
    <x v="85"/>
    <n v="358.41"/>
    <n v="0"/>
    <n v="1077.92"/>
  </r>
  <r>
    <x v="16"/>
    <x v="15"/>
    <x v="2"/>
    <x v="1"/>
    <x v="121"/>
    <n v="5"/>
    <n v="0"/>
    <x v="86"/>
    <n v="581.5"/>
    <n v="0"/>
    <n v="1163.01"/>
  </r>
  <r>
    <x v="17"/>
    <x v="12"/>
    <x v="1"/>
    <x v="4"/>
    <x v="122"/>
    <n v="10"/>
    <n v="0.1"/>
    <x v="87"/>
    <n v="410.9"/>
    <n v="0"/>
    <n v="1014.56"/>
  </r>
  <r>
    <x v="0"/>
    <x v="2"/>
    <x v="2"/>
    <x v="2"/>
    <x v="123"/>
    <n v="14"/>
    <n v="0"/>
    <x v="88"/>
    <n v="179.51"/>
    <n v="0.05"/>
    <n v="682.13799999999992"/>
  </r>
  <r>
    <x v="26"/>
    <x v="2"/>
    <x v="4"/>
    <x v="1"/>
    <x v="124"/>
    <n v="18"/>
    <n v="0.2"/>
    <x v="88"/>
    <n v="511.14"/>
    <n v="0"/>
    <n v="1277.8499999999999"/>
  </r>
  <r>
    <x v="25"/>
    <x v="3"/>
    <x v="3"/>
    <x v="2"/>
    <x v="125"/>
    <n v="1"/>
    <n v="0.15"/>
    <x v="88"/>
    <n v="150.18"/>
    <n v="0.15000000000000002"/>
    <n v="600.72050000000002"/>
  </r>
  <r>
    <x v="22"/>
    <x v="15"/>
    <x v="1"/>
    <x v="2"/>
    <x v="126"/>
    <n v="15"/>
    <n v="0"/>
    <x v="89"/>
    <n v="352.65"/>
    <n v="9.9999999999999992E-2"/>
    <n v="1269.5309999999999"/>
  </r>
  <r>
    <x v="8"/>
    <x v="21"/>
    <x v="2"/>
    <x v="3"/>
    <x v="127"/>
    <n v="10"/>
    <n v="0"/>
    <x v="89"/>
    <n v="472.62"/>
    <n v="0"/>
    <n v="1350.33"/>
  </r>
  <r>
    <x v="12"/>
    <x v="12"/>
    <x v="1"/>
    <x v="2"/>
    <x v="128"/>
    <n v="4"/>
    <n v="0.15"/>
    <x v="89"/>
    <n v="195.33"/>
    <n v="0"/>
    <n v="919.18"/>
  </r>
  <r>
    <x v="28"/>
    <x v="3"/>
    <x v="0"/>
    <x v="2"/>
    <x v="129"/>
    <n v="19"/>
    <n v="0"/>
    <x v="90"/>
    <n v="64.63"/>
    <n v="9.9999999999999992E-2"/>
    <n v="232.65899999999999"/>
  </r>
  <r>
    <x v="21"/>
    <x v="21"/>
    <x v="1"/>
    <x v="0"/>
    <x v="130"/>
    <n v="5"/>
    <n v="0.05"/>
    <x v="90"/>
    <n v="461.12"/>
    <n v="0"/>
    <n v="1213.48"/>
  </r>
  <r>
    <x v="18"/>
    <x v="9"/>
    <x v="4"/>
    <x v="0"/>
    <x v="131"/>
    <n v="8"/>
    <n v="0.05"/>
    <x v="91"/>
    <n v="437.11"/>
    <n v="0"/>
    <n v="1150.28"/>
  </r>
  <r>
    <x v="10"/>
    <x v="26"/>
    <x v="2"/>
    <x v="3"/>
    <x v="132"/>
    <n v="8"/>
    <n v="0.1"/>
    <x v="91"/>
    <n v="268.97000000000003"/>
    <n v="0"/>
    <n v="853.86"/>
  </r>
  <r>
    <x v="29"/>
    <x v="12"/>
    <x v="2"/>
    <x v="2"/>
    <x v="133"/>
    <n v="1"/>
    <n v="0"/>
    <x v="92"/>
    <n v="265.26"/>
    <n v="0.05"/>
    <n v="1007.9879999999999"/>
  </r>
  <r>
    <x v="6"/>
    <x v="11"/>
    <x v="0"/>
    <x v="2"/>
    <x v="134"/>
    <n v="19"/>
    <n v="0.2"/>
    <x v="93"/>
    <n v="178.91"/>
    <n v="0"/>
    <n v="894.55"/>
  </r>
  <r>
    <x v="5"/>
    <x v="9"/>
    <x v="3"/>
    <x v="4"/>
    <x v="135"/>
    <n v="3"/>
    <n v="0.05"/>
    <x v="94"/>
    <n v="356.5"/>
    <n v="0.15000000000000002"/>
    <n v="708.82349999999997"/>
  </r>
  <r>
    <x v="19"/>
    <x v="26"/>
    <x v="0"/>
    <x v="3"/>
    <x v="136"/>
    <n v="4"/>
    <n v="0.2"/>
    <x v="95"/>
    <n v="229.65"/>
    <n v="0"/>
    <n v="820.19"/>
  </r>
  <r>
    <x v="19"/>
    <x v="9"/>
    <x v="4"/>
    <x v="2"/>
    <x v="137"/>
    <n v="8"/>
    <n v="0.05"/>
    <x v="96"/>
    <n v="121.54"/>
    <n v="0.15000000000000002"/>
    <n v="434.97899999999998"/>
  </r>
  <r>
    <x v="22"/>
    <x v="21"/>
    <x v="2"/>
    <x v="3"/>
    <x v="138"/>
    <n v="19"/>
    <n v="0.05"/>
    <x v="97"/>
    <n v="268"/>
    <n v="0"/>
    <n v="806.03"/>
  </r>
  <r>
    <x v="6"/>
    <x v="4"/>
    <x v="4"/>
    <x v="3"/>
    <x v="139"/>
    <n v="16"/>
    <n v="0.15"/>
    <x v="98"/>
    <n v="426.16"/>
    <n v="0"/>
    <n v="1432.47"/>
  </r>
  <r>
    <x v="28"/>
    <x v="5"/>
    <x v="4"/>
    <x v="2"/>
    <x v="140"/>
    <n v="10"/>
    <n v="0.15"/>
    <x v="98"/>
    <n v="316.32"/>
    <n v="9.9999999999999992E-2"/>
    <n v="1339.722"/>
  </r>
  <r>
    <x v="7"/>
    <x v="24"/>
    <x v="1"/>
    <x v="0"/>
    <x v="141"/>
    <n v="9"/>
    <n v="0"/>
    <x v="99"/>
    <n v="492.5"/>
    <n v="9.9999999999999992E-2"/>
    <n v="1108.134"/>
  </r>
  <r>
    <x v="7"/>
    <x v="11"/>
    <x v="0"/>
    <x v="2"/>
    <x v="142"/>
    <n v="19"/>
    <n v="0.2"/>
    <x v="100"/>
    <n v="232.33"/>
    <n v="0"/>
    <n v="1161.67"/>
  </r>
  <r>
    <x v="15"/>
    <x v="12"/>
    <x v="4"/>
    <x v="4"/>
    <x v="143"/>
    <n v="16"/>
    <n v="0.05"/>
    <x v="101"/>
    <n v="165.97"/>
    <n v="0.15000000000000002"/>
    <n v="329.99549999999999"/>
  </r>
  <r>
    <x v="26"/>
    <x v="6"/>
    <x v="3"/>
    <x v="1"/>
    <x v="144"/>
    <n v="6"/>
    <n v="0.15"/>
    <x v="102"/>
    <n v="675.5"/>
    <n v="0"/>
    <n v="1589.42"/>
  </r>
  <r>
    <x v="6"/>
    <x v="26"/>
    <x v="3"/>
    <x v="1"/>
    <x v="145"/>
    <n v="13"/>
    <n v="0.2"/>
    <x v="102"/>
    <n v="134.66"/>
    <n v="9.9999999999999992E-2"/>
    <n v="302.99400000000003"/>
  </r>
  <r>
    <x v="15"/>
    <x v="3"/>
    <x v="0"/>
    <x v="0"/>
    <x v="146"/>
    <n v="14"/>
    <n v="0.1"/>
    <x v="103"/>
    <n v="487.36"/>
    <n v="0.15000000000000002"/>
    <n v="1150.7214999999999"/>
  </r>
  <r>
    <x v="21"/>
    <x v="25"/>
    <x v="4"/>
    <x v="1"/>
    <x v="147"/>
    <n v="11"/>
    <n v="0.05"/>
    <x v="104"/>
    <n v="314.74"/>
    <n v="0.05"/>
    <n v="629.47950000000003"/>
  </r>
  <r>
    <x v="16"/>
    <x v="14"/>
    <x v="3"/>
    <x v="4"/>
    <x v="148"/>
    <n v="1"/>
    <n v="0.2"/>
    <x v="104"/>
    <n v="111.39"/>
    <n v="0"/>
    <n v="309.42"/>
  </r>
  <r>
    <x v="21"/>
    <x v="5"/>
    <x v="3"/>
    <x v="0"/>
    <x v="149"/>
    <n v="18"/>
    <n v="0.1"/>
    <x v="105"/>
    <n v="318.47000000000003"/>
    <n v="0.15000000000000002"/>
    <n v="751.93549999999993"/>
  </r>
  <r>
    <x v="16"/>
    <x v="3"/>
    <x v="4"/>
    <x v="4"/>
    <x v="150"/>
    <n v="10"/>
    <n v="0.1"/>
    <x v="106"/>
    <n v="301.75"/>
    <n v="0.05"/>
    <n v="707.7974999999999"/>
  </r>
  <r>
    <x v="20"/>
    <x v="2"/>
    <x v="2"/>
    <x v="1"/>
    <x v="151"/>
    <n v="5"/>
    <n v="0.05"/>
    <x v="106"/>
    <n v="413.36"/>
    <n v="0.05"/>
    <n v="826.71849999999995"/>
  </r>
  <r>
    <x v="9"/>
    <x v="5"/>
    <x v="0"/>
    <x v="3"/>
    <x v="152"/>
    <n v="18"/>
    <n v="0.05"/>
    <x v="107"/>
    <n v="286.68"/>
    <n v="0"/>
    <n v="862.19"/>
  </r>
  <r>
    <x v="27"/>
    <x v="20"/>
    <x v="3"/>
    <x v="1"/>
    <x v="153"/>
    <n v="19"/>
    <n v="0.05"/>
    <x v="108"/>
    <n v="556.30999999999995"/>
    <n v="0"/>
    <n v="1171.18"/>
  </r>
  <r>
    <x v="19"/>
    <x v="1"/>
    <x v="2"/>
    <x v="3"/>
    <x v="154"/>
    <n v="11"/>
    <n v="0.1"/>
    <x v="109"/>
    <n v="332.19"/>
    <n v="0"/>
    <n v="1054.56"/>
  </r>
  <r>
    <x v="19"/>
    <x v="3"/>
    <x v="3"/>
    <x v="2"/>
    <x v="155"/>
    <n v="5"/>
    <n v="0.2"/>
    <x v="110"/>
    <n v="336.24"/>
    <n v="0.05"/>
    <n v="1597.1495"/>
  </r>
  <r>
    <x v="19"/>
    <x v="8"/>
    <x v="0"/>
    <x v="1"/>
    <x v="156"/>
    <n v="9"/>
    <n v="0.05"/>
    <x v="111"/>
    <n v="180.39"/>
    <n v="0.15000000000000002"/>
    <n v="322.80449999999996"/>
  </r>
  <r>
    <x v="13"/>
    <x v="12"/>
    <x v="4"/>
    <x v="1"/>
    <x v="157"/>
    <n v="2"/>
    <n v="0.1"/>
    <x v="112"/>
    <n v="484.35"/>
    <n v="0"/>
    <n v="1076.33"/>
  </r>
  <r>
    <x v="13"/>
    <x v="6"/>
    <x v="4"/>
    <x v="4"/>
    <x v="158"/>
    <n v="7"/>
    <n v="0"/>
    <x v="112"/>
    <n v="562.82000000000005"/>
    <n v="0.05"/>
    <n v="1188.1745000000001"/>
  </r>
  <r>
    <x v="11"/>
    <x v="2"/>
    <x v="2"/>
    <x v="1"/>
    <x v="159"/>
    <n v="6"/>
    <n v="0.2"/>
    <x v="112"/>
    <n v="447.34"/>
    <n v="0"/>
    <n v="1118.3399999999999"/>
  </r>
  <r>
    <x v="25"/>
    <x v="17"/>
    <x v="3"/>
    <x v="1"/>
    <x v="160"/>
    <n v="12"/>
    <n v="0.2"/>
    <x v="113"/>
    <n v="649.04999999999995"/>
    <n v="0.15000000000000002"/>
    <n v="1379.2269999999999"/>
  </r>
  <r>
    <x v="29"/>
    <x v="14"/>
    <x v="3"/>
    <x v="0"/>
    <x v="161"/>
    <n v="11"/>
    <n v="0.2"/>
    <x v="114"/>
    <n v="205"/>
    <n v="0.15000000000000002"/>
    <n v="544.54399999999998"/>
  </r>
  <r>
    <x v="4"/>
    <x v="11"/>
    <x v="0"/>
    <x v="1"/>
    <x v="162"/>
    <n v="17"/>
    <n v="0.1"/>
    <x v="115"/>
    <n v="263.32"/>
    <n v="0.15000000000000002"/>
    <n v="497.38599999999997"/>
  </r>
  <r>
    <x v="4"/>
    <x v="6"/>
    <x v="1"/>
    <x v="1"/>
    <x v="163"/>
    <n v="5"/>
    <n v="0.2"/>
    <x v="116"/>
    <n v="443.99"/>
    <n v="0.05"/>
    <n v="1054.481"/>
  </r>
  <r>
    <x v="19"/>
    <x v="12"/>
    <x v="1"/>
    <x v="0"/>
    <x v="164"/>
    <n v="9"/>
    <n v="0.1"/>
    <x v="117"/>
    <n v="395.31"/>
    <n v="0.15000000000000002"/>
    <n v="933.36799999999994"/>
  </r>
  <r>
    <x v="22"/>
    <x v="14"/>
    <x v="0"/>
    <x v="4"/>
    <x v="165"/>
    <n v="7"/>
    <n v="0.1"/>
    <x v="118"/>
    <n v="335.04"/>
    <n v="0.05"/>
    <n v="785.88749999999993"/>
  </r>
  <r>
    <x v="25"/>
    <x v="5"/>
    <x v="4"/>
    <x v="1"/>
    <x v="166"/>
    <n v="16"/>
    <n v="0.1"/>
    <x v="119"/>
    <n v="333.85"/>
    <n v="0.05"/>
    <n v="704.78599999999994"/>
  </r>
  <r>
    <x v="26"/>
    <x v="0"/>
    <x v="1"/>
    <x v="4"/>
    <x v="167"/>
    <n v="6"/>
    <n v="0.1"/>
    <x v="120"/>
    <n v="531.05999999999995"/>
    <n v="0.05"/>
    <n v="1245.6969999999999"/>
  </r>
  <r>
    <x v="26"/>
    <x v="6"/>
    <x v="2"/>
    <x v="4"/>
    <x v="168"/>
    <n v="19"/>
    <n v="0.1"/>
    <x v="121"/>
    <n v="232.19"/>
    <n v="0.05"/>
    <n v="544.654"/>
  </r>
  <r>
    <x v="16"/>
    <x v="3"/>
    <x v="0"/>
    <x v="2"/>
    <x v="169"/>
    <n v="14"/>
    <n v="0.2"/>
    <x v="122"/>
    <n v="223.04"/>
    <n v="0.05"/>
    <n v="1059.4590000000001"/>
  </r>
  <r>
    <x v="1"/>
    <x v="12"/>
    <x v="3"/>
    <x v="1"/>
    <x v="170"/>
    <n v="4"/>
    <n v="0"/>
    <x v="123"/>
    <n v="422.92"/>
    <n v="0.15000000000000002"/>
    <n v="718.96400000000006"/>
  </r>
  <r>
    <x v="7"/>
    <x v="18"/>
    <x v="0"/>
    <x v="2"/>
    <x v="171"/>
    <n v="3"/>
    <n v="0"/>
    <x v="124"/>
    <n v="257.45"/>
    <n v="0"/>
    <n v="1029.8"/>
  </r>
  <r>
    <x v="8"/>
    <x v="6"/>
    <x v="3"/>
    <x v="0"/>
    <x v="172"/>
    <n v="2"/>
    <n v="0.2"/>
    <x v="125"/>
    <n v="380.75"/>
    <n v="0"/>
    <n v="1189.83"/>
  </r>
  <r>
    <x v="23"/>
    <x v="11"/>
    <x v="2"/>
    <x v="0"/>
    <x v="173"/>
    <n v="15"/>
    <n v="0.2"/>
    <x v="126"/>
    <n v="225.37"/>
    <n v="0.15000000000000002"/>
    <n v="598.63799999999992"/>
  </r>
  <r>
    <x v="22"/>
    <x v="13"/>
    <x v="4"/>
    <x v="4"/>
    <x v="174"/>
    <n v="12"/>
    <n v="0.2"/>
    <x v="126"/>
    <n v="582.55999999999995"/>
    <n v="0.15000000000000002"/>
    <n v="1375.4870000000001"/>
  </r>
  <r>
    <x v="27"/>
    <x v="17"/>
    <x v="4"/>
    <x v="0"/>
    <x v="175"/>
    <n v="2"/>
    <n v="0.15"/>
    <x v="127"/>
    <n v="344.91"/>
    <n v="0.15000000000000002"/>
    <n v="862.26549999999997"/>
  </r>
  <r>
    <x v="29"/>
    <x v="6"/>
    <x v="4"/>
    <x v="1"/>
    <x v="176"/>
    <n v="18"/>
    <n v="0.2"/>
    <x v="128"/>
    <n v="330.79"/>
    <n v="9.9999999999999992E-2"/>
    <n v="744.27300000000002"/>
  </r>
  <r>
    <x v="2"/>
    <x v="6"/>
    <x v="4"/>
    <x v="1"/>
    <x v="177"/>
    <n v="8"/>
    <n v="0.1"/>
    <x v="129"/>
    <n v="460"/>
    <n v="0.15000000000000002"/>
    <n v="868.89549999999997"/>
  </r>
  <r>
    <x v="26"/>
    <x v="5"/>
    <x v="1"/>
    <x v="0"/>
    <x v="178"/>
    <n v="6"/>
    <n v="0"/>
    <x v="130"/>
    <n v="439.88"/>
    <n v="0.05"/>
    <n v="1044.7055"/>
  </r>
  <r>
    <x v="16"/>
    <x v="23"/>
    <x v="3"/>
    <x v="0"/>
    <x v="179"/>
    <n v="8"/>
    <n v="0.1"/>
    <x v="131"/>
    <n v="255.79"/>
    <n v="0"/>
    <n v="710.52"/>
  </r>
  <r>
    <x v="16"/>
    <x v="20"/>
    <x v="3"/>
    <x v="0"/>
    <x v="180"/>
    <n v="15"/>
    <n v="0.2"/>
    <x v="132"/>
    <n v="159.74"/>
    <n v="0.05"/>
    <n v="474.221"/>
  </r>
  <r>
    <x v="10"/>
    <x v="9"/>
    <x v="2"/>
    <x v="0"/>
    <x v="181"/>
    <n v="18"/>
    <n v="0.05"/>
    <x v="133"/>
    <n v="404.39"/>
    <n v="0.15000000000000002"/>
    <n v="904.56150000000002"/>
  </r>
  <r>
    <x v="23"/>
    <x v="9"/>
    <x v="1"/>
    <x v="4"/>
    <x v="182"/>
    <n v="18"/>
    <n v="0.05"/>
    <x v="134"/>
    <n v="187.57"/>
    <n v="0"/>
    <n v="438.76"/>
  </r>
  <r>
    <x v="12"/>
    <x v="18"/>
    <x v="0"/>
    <x v="1"/>
    <x v="183"/>
    <n v="2"/>
    <n v="0.05"/>
    <x v="135"/>
    <n v="410.87"/>
    <n v="0"/>
    <n v="864.98"/>
  </r>
  <r>
    <x v="18"/>
    <x v="18"/>
    <x v="0"/>
    <x v="3"/>
    <x v="184"/>
    <n v="14"/>
    <n v="0.2"/>
    <x v="136"/>
    <n v="275.77999999999997"/>
    <n v="0"/>
    <n v="984.93"/>
  </r>
  <r>
    <x v="5"/>
    <x v="18"/>
    <x v="0"/>
    <x v="1"/>
    <x v="185"/>
    <n v="18"/>
    <n v="0"/>
    <x v="137"/>
    <n v="746.74"/>
    <n v="0.15000000000000002"/>
    <n v="1269.4665"/>
  </r>
  <r>
    <x v="8"/>
    <x v="17"/>
    <x v="2"/>
    <x v="1"/>
    <x v="186"/>
    <n v="9"/>
    <n v="0.1"/>
    <x v="138"/>
    <n v="310.24"/>
    <n v="0"/>
    <n v="689.43"/>
  </r>
  <r>
    <x v="11"/>
    <x v="20"/>
    <x v="2"/>
    <x v="1"/>
    <x v="187"/>
    <n v="1"/>
    <n v="0"/>
    <x v="139"/>
    <n v="341.12"/>
    <n v="0.05"/>
    <n v="648.12799999999993"/>
  </r>
  <r>
    <x v="12"/>
    <x v="4"/>
    <x v="3"/>
    <x v="2"/>
    <x v="188"/>
    <n v="15"/>
    <n v="0.2"/>
    <x v="140"/>
    <n v="91.71"/>
    <n v="0"/>
    <n v="458.54"/>
  </r>
  <r>
    <x v="8"/>
    <x v="4"/>
    <x v="2"/>
    <x v="3"/>
    <x v="189"/>
    <n v="11"/>
    <n v="0.2"/>
    <x v="141"/>
    <n v="331.59"/>
    <n v="0.15000000000000002"/>
    <n v="1006.6125"/>
  </r>
  <r>
    <x v="5"/>
    <x v="0"/>
    <x v="2"/>
    <x v="1"/>
    <x v="190"/>
    <n v="9"/>
    <n v="0"/>
    <x v="142"/>
    <n v="381.07"/>
    <n v="0.15000000000000002"/>
    <n v="647.81899999999996"/>
  </r>
  <r>
    <x v="4"/>
    <x v="17"/>
    <x v="3"/>
    <x v="0"/>
    <x v="191"/>
    <n v="10"/>
    <n v="0.15"/>
    <x v="142"/>
    <n v="255.24"/>
    <n v="0"/>
    <n v="750.71"/>
  </r>
  <r>
    <x v="29"/>
    <x v="26"/>
    <x v="4"/>
    <x v="1"/>
    <x v="192"/>
    <n v="14"/>
    <n v="0.05"/>
    <x v="143"/>
    <n v="692.05"/>
    <n v="9.9999999999999992E-2"/>
    <n v="1311.2460000000001"/>
  </r>
  <r>
    <x v="13"/>
    <x v="21"/>
    <x v="1"/>
    <x v="3"/>
    <x v="193"/>
    <n v="17"/>
    <n v="0.1"/>
    <x v="143"/>
    <n v="344.41"/>
    <n v="0"/>
    <n v="1093.3800000000001"/>
  </r>
  <r>
    <x v="10"/>
    <x v="11"/>
    <x v="0"/>
    <x v="1"/>
    <x v="194"/>
    <n v="8"/>
    <n v="0.15"/>
    <x v="144"/>
    <n v="397.06"/>
    <n v="0.05"/>
    <n v="887.55649999999991"/>
  </r>
  <r>
    <x v="25"/>
    <x v="8"/>
    <x v="4"/>
    <x v="1"/>
    <x v="195"/>
    <n v="8"/>
    <n v="0.2"/>
    <x v="144"/>
    <n v="586.14"/>
    <n v="9.9999999999999992E-2"/>
    <n v="1318.8150000000001"/>
  </r>
  <r>
    <x v="16"/>
    <x v="1"/>
    <x v="2"/>
    <x v="4"/>
    <x v="196"/>
    <n v="3"/>
    <n v="0"/>
    <x v="145"/>
    <n v="333.36"/>
    <n v="0.15000000000000002"/>
    <n v="629.67999999999995"/>
  </r>
  <r>
    <x v="19"/>
    <x v="11"/>
    <x v="0"/>
    <x v="4"/>
    <x v="197"/>
    <n v="17"/>
    <n v="0"/>
    <x v="146"/>
    <n v="245.45"/>
    <n v="0"/>
    <n v="545.44000000000005"/>
  </r>
  <r>
    <x v="9"/>
    <x v="8"/>
    <x v="1"/>
    <x v="0"/>
    <x v="198"/>
    <n v="8"/>
    <n v="0.05"/>
    <x v="146"/>
    <n v="379.09"/>
    <n v="0"/>
    <n v="997.61"/>
  </r>
  <r>
    <x v="20"/>
    <x v="8"/>
    <x v="2"/>
    <x v="1"/>
    <x v="199"/>
    <n v="2"/>
    <n v="0.05"/>
    <x v="147"/>
    <n v="440.95"/>
    <n v="0"/>
    <n v="928.32"/>
  </r>
  <r>
    <x v="30"/>
    <x v="27"/>
    <x v="5"/>
    <x v="5"/>
    <x v="200"/>
    <m/>
    <m/>
    <x v="148"/>
    <m/>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x v="0"/>
    <s v="James Davis"/>
    <s v="West"/>
    <s v="Books"/>
    <x v="0"/>
    <n v="4"/>
    <n v="0.2"/>
    <d v="2024-04-10T00:00:00"/>
    <n v="331.55"/>
    <n v="0.15000000000000002"/>
    <n v="880.67649999999992"/>
    <m/>
  </r>
  <r>
    <x v="1"/>
    <s v="Robert Anderson"/>
    <s v="West"/>
    <s v="Clothing"/>
    <x v="1"/>
    <n v="3"/>
    <n v="0.2"/>
    <d v="2024-04-11T00:00:00"/>
    <n v="440.51"/>
    <n v="0.15000000000000002"/>
    <n v="936.08799999999997"/>
    <m/>
  </r>
  <r>
    <x v="2"/>
    <s v="James Taylor"/>
    <s v="East"/>
    <s v="Books"/>
    <x v="2"/>
    <n v="17"/>
    <n v="0"/>
    <d v="2024-04-14T00:00:00"/>
    <n v="285.33999999999997"/>
    <n v="0.15000000000000002"/>
    <n v="606.33900000000006"/>
    <m/>
  </r>
  <r>
    <x v="3"/>
    <s v="Robert Anderson"/>
    <s v="South"/>
    <s v="Electronics"/>
    <x v="3"/>
    <n v="4"/>
    <n v="0.15"/>
    <d v="2024-04-14T00:00:00"/>
    <n v="161.69999999999999"/>
    <n v="0"/>
    <n v="760.93"/>
    <m/>
  </r>
  <r>
    <x v="4"/>
    <s v="James Wilson"/>
    <s v="North"/>
    <s v="Books"/>
    <x v="4"/>
    <n v="12"/>
    <n v="0.2"/>
    <d v="2024-04-15T00:00:00"/>
    <n v="271.04000000000002"/>
    <n v="9.9999999999999992E-2"/>
    <n v="762.30000000000007"/>
    <m/>
  </r>
  <r>
    <x v="5"/>
    <s v="Michael Anderson"/>
    <s v="North"/>
    <s v="Furniture"/>
    <x v="5"/>
    <n v="8"/>
    <n v="0.1"/>
    <d v="2024-04-16T00:00:00"/>
    <n v="304.18"/>
    <n v="0.15000000000000002"/>
    <n v="820.79399999999998"/>
    <m/>
  </r>
  <r>
    <x v="6"/>
    <s v="Linda Wilson"/>
    <s v="West"/>
    <s v="Electronics"/>
    <x v="6"/>
    <n v="12"/>
    <n v="0.05"/>
    <d v="2024-04-16T00:00:00"/>
    <n v="312.91000000000003"/>
    <n v="0.05"/>
    <n v="383.35449999999997"/>
    <n v="68287.010000000009"/>
  </r>
  <r>
    <x v="7"/>
    <s v="Mary Davis"/>
    <s v="East"/>
    <s v="Furniture"/>
    <x v="7"/>
    <n v="6"/>
    <n v="0.2"/>
    <d v="2024-04-19T00:00:00"/>
    <n v="300.85000000000002"/>
    <n v="0"/>
    <n v="1074.47"/>
    <m/>
  </r>
  <r>
    <x v="8"/>
    <s v="Linda Jackson"/>
    <s v="Central"/>
    <s v="Books"/>
    <x v="8"/>
    <n v="11"/>
    <n v="0.05"/>
    <d v="2024-04-19T00:00:00"/>
    <n v="190.59"/>
    <n v="0.15000000000000002"/>
    <n v="426.30900000000003"/>
    <m/>
  </r>
  <r>
    <x v="9"/>
    <s v="David Thomas"/>
    <s v="Central"/>
    <s v="Clothing"/>
    <x v="9"/>
    <n v="2"/>
    <n v="0.05"/>
    <d v="2024-04-19T00:00:00"/>
    <n v="350.22"/>
    <n v="0"/>
    <n v="737.31"/>
    <m/>
  </r>
  <r>
    <x v="10"/>
    <s v="Emma Davis"/>
    <s v="West"/>
    <s v="Office Supplies"/>
    <x v="10"/>
    <n v="6"/>
    <n v="0.05"/>
    <d v="2024-04-20T00:00:00"/>
    <n v="672.38"/>
    <n v="0"/>
    <n v="355.74"/>
    <n v="67067.910000000033"/>
  </r>
  <r>
    <x v="10"/>
    <s v="David Thomas"/>
    <s v="Central"/>
    <s v="Books"/>
    <x v="11"/>
    <n v="14"/>
    <n v="0.15"/>
    <d v="2024-04-22T00:00:00"/>
    <n v="456.66"/>
    <n v="0"/>
    <n v="255.898"/>
    <n v="66796.87000000001"/>
  </r>
  <r>
    <x v="5"/>
    <s v="Michael Anderson"/>
    <s v="Central"/>
    <s v="Books"/>
    <x v="12"/>
    <n v="14"/>
    <n v="0.05"/>
    <d v="2024-04-24T00:00:00"/>
    <n v="452.8"/>
    <n v="9.9999999999999992E-2"/>
    <n v="1072.422"/>
    <m/>
  </r>
  <r>
    <x v="11"/>
    <s v="Robert Anderson"/>
    <s v="West"/>
    <s v="Furniture"/>
    <x v="13"/>
    <n v="7"/>
    <n v="0.05"/>
    <d v="2024-04-24T00:00:00"/>
    <n v="273.41000000000003"/>
    <n v="0"/>
    <n v="822.28"/>
    <m/>
  </r>
  <r>
    <x v="12"/>
    <s v="David Smith"/>
    <s v="North"/>
    <s v="Furniture"/>
    <x v="14"/>
    <n v="15"/>
    <n v="0.15"/>
    <d v="2024-04-27T00:00:00"/>
    <n v="155.19999999999999"/>
    <n v="0"/>
    <n v="521.66999999999996"/>
    <m/>
  </r>
  <r>
    <x v="3"/>
    <s v="Sarah Anderson"/>
    <s v="South"/>
    <s v="Electronics"/>
    <x v="15"/>
    <n v="14"/>
    <n v="0.2"/>
    <d v="2024-04-28T00:00:00"/>
    <n v="300.58999999999997"/>
    <n v="9.9999999999999992E-2"/>
    <n v="387.08550000000002"/>
    <n v="65688.340000000026"/>
  </r>
  <r>
    <x v="13"/>
    <s v="Robert Anderson"/>
    <s v="South"/>
    <s v="Books"/>
    <x v="16"/>
    <n v="10"/>
    <n v="0.15"/>
    <d v="2024-04-29T00:00:00"/>
    <n v="298.38"/>
    <n v="0.15000000000000002"/>
    <n v="745.94299999999998"/>
    <m/>
  </r>
  <r>
    <x v="6"/>
    <s v="Lisa Thomas"/>
    <s v="West"/>
    <s v="Books"/>
    <x v="17"/>
    <n v="4"/>
    <n v="0.2"/>
    <d v="2024-04-29T00:00:00"/>
    <n v="203.74"/>
    <n v="9.9999999999999992E-2"/>
    <n v="573.03000000000009"/>
    <m/>
  </r>
  <r>
    <x v="14"/>
    <s v="Mary Jackson"/>
    <s v="West"/>
    <s v="Books"/>
    <x v="18"/>
    <n v="13"/>
    <n v="0.2"/>
    <d v="2024-04-30T00:00:00"/>
    <n v="481.96"/>
    <n v="0.15000000000000002"/>
    <n v="393.221"/>
    <n v="64209.080000000024"/>
  </r>
  <r>
    <x v="7"/>
    <s v="Mary Davis"/>
    <s v="Central"/>
    <s v="Electronics"/>
    <x v="19"/>
    <n v="4"/>
    <n v="0"/>
    <d v="2024-05-02T00:00:00"/>
    <n v="161.26"/>
    <n v="0.15000000000000002"/>
    <n v="548.26699999999994"/>
    <m/>
  </r>
  <r>
    <x v="5"/>
    <s v="Lisa Davis"/>
    <s v="South"/>
    <s v="Clothing"/>
    <x v="20"/>
    <n v="11"/>
    <n v="0"/>
    <d v="2024-05-03T00:00:00"/>
    <n v="476.65"/>
    <n v="0"/>
    <n v="953.3"/>
    <m/>
  </r>
  <r>
    <x v="15"/>
    <s v="Robert Anderson"/>
    <s v="North"/>
    <s v="Electronics"/>
    <x v="21"/>
    <n v="14"/>
    <n v="0.15"/>
    <d v="2024-05-04T00:00:00"/>
    <n v="82.57"/>
    <n v="0"/>
    <n v="388.56"/>
    <m/>
  </r>
  <r>
    <x v="0"/>
    <s v="Mary Davis"/>
    <s v="West"/>
    <s v="Books"/>
    <x v="22"/>
    <n v="9"/>
    <n v="0"/>
    <d v="2024-05-04T00:00:00"/>
    <n v="297.27"/>
    <n v="9.9999999999999992E-2"/>
    <n v="668.85299999999995"/>
    <m/>
  </r>
  <r>
    <x v="11"/>
    <s v="Mary Davis"/>
    <s v="Central"/>
    <s v="Electronics"/>
    <x v="23"/>
    <n v="6"/>
    <n v="0"/>
    <d v="2024-05-04T00:00:00"/>
    <n v="176.59"/>
    <n v="0"/>
    <n v="706.37"/>
    <m/>
  </r>
  <r>
    <x v="1"/>
    <s v="Mary Davis"/>
    <s v="Central"/>
    <s v="Office Supplies"/>
    <x v="24"/>
    <n v="8"/>
    <n v="0.1"/>
    <d v="2024-05-06T00:00:00"/>
    <n v="374.75"/>
    <n v="0"/>
    <n v="925.31"/>
    <m/>
  </r>
  <r>
    <x v="9"/>
    <s v="Linda Brown"/>
    <s v="South"/>
    <s v="Electronics"/>
    <x v="25"/>
    <n v="18"/>
    <n v="0"/>
    <d v="2024-05-06T00:00:00"/>
    <n v="293.27999999999997"/>
    <n v="0.05"/>
    <n v="1114.4639999999999"/>
    <m/>
  </r>
  <r>
    <x v="4"/>
    <s v="John Brown"/>
    <s v="North"/>
    <s v="Furniture"/>
    <x v="26"/>
    <n v="17"/>
    <n v="0"/>
    <d v="2024-05-08T00:00:00"/>
    <n v="236.44"/>
    <n v="0"/>
    <n v="675.54"/>
    <m/>
  </r>
  <r>
    <x v="5"/>
    <s v="Robert Anderson"/>
    <s v="Central"/>
    <s v="Books"/>
    <x v="27"/>
    <n v="2"/>
    <n v="0.05"/>
    <d v="2024-05-10T00:00:00"/>
    <n v="356.85"/>
    <n v="0"/>
    <n v="939.09"/>
    <m/>
  </r>
  <r>
    <x v="16"/>
    <s v="Linda Taylor"/>
    <s v="East"/>
    <s v="Office Supplies"/>
    <x v="28"/>
    <n v="19"/>
    <n v="0.1"/>
    <d v="2024-05-14T00:00:00"/>
    <n v="398.25"/>
    <n v="0"/>
    <n v="983.34"/>
    <m/>
  </r>
  <r>
    <x v="16"/>
    <s v="James Wilson"/>
    <s v="South"/>
    <s v="Electronics"/>
    <x v="29"/>
    <n v="3"/>
    <n v="0.2"/>
    <d v="2024-05-14T00:00:00"/>
    <n v="160.24"/>
    <n v="0.05"/>
    <n v="761.14949999999999"/>
    <m/>
  </r>
  <r>
    <x v="17"/>
    <s v="David Brown"/>
    <s v="North"/>
    <s v="Electronics"/>
    <x v="30"/>
    <n v="5"/>
    <n v="0.1"/>
    <d v="2024-05-15T00:00:00"/>
    <n v="326.41000000000003"/>
    <n v="0.15000000000000002"/>
    <n v="467.28100000000001"/>
    <n v="60848.66"/>
  </r>
  <r>
    <x v="15"/>
    <s v="David Davis"/>
    <s v="Central"/>
    <s v="Books"/>
    <x v="31"/>
    <n v="18"/>
    <n v="0.05"/>
    <d v="2024-05-16T00:00:00"/>
    <n v="388.82"/>
    <n v="0.05"/>
    <n v="972.04949999999997"/>
    <m/>
  </r>
  <r>
    <x v="6"/>
    <s v="Mary Jackson"/>
    <s v="West"/>
    <s v="Furniture"/>
    <x v="32"/>
    <n v="5"/>
    <n v="0.15"/>
    <d v="2024-05-16T00:00:00"/>
    <n v="253.98"/>
    <n v="0"/>
    <n v="853.72"/>
    <m/>
  </r>
  <r>
    <x v="18"/>
    <s v="Sarah Anderson"/>
    <s v="South"/>
    <s v="Electronics"/>
    <x v="33"/>
    <n v="10"/>
    <n v="0.1"/>
    <d v="2024-05-17T00:00:00"/>
    <n v="217.78"/>
    <n v="9.9999999999999992E-2"/>
    <n v="871.101"/>
    <m/>
  </r>
  <r>
    <x v="19"/>
    <s v="Linda Taylor"/>
    <s v="North"/>
    <s v="Office Supplies"/>
    <x v="34"/>
    <n v="14"/>
    <n v="0.05"/>
    <d v="2024-05-17T00:00:00"/>
    <n v="513.38"/>
    <n v="0.05"/>
    <n v="496.584"/>
    <n v="59587.34"/>
  </r>
  <r>
    <x v="1"/>
    <s v="Michael Anderson"/>
    <s v="West"/>
    <s v="Books"/>
    <x v="35"/>
    <n v="12"/>
    <n v="0.2"/>
    <d v="2024-05-17T00:00:00"/>
    <n v="151.16"/>
    <n v="0"/>
    <n v="472.38"/>
    <m/>
  </r>
  <r>
    <x v="0"/>
    <s v="David Brown"/>
    <s v="East"/>
    <s v="Office Supplies"/>
    <x v="36"/>
    <n v="9"/>
    <n v="0.05"/>
    <d v="2024-05-17T00:00:00"/>
    <n v="359.49"/>
    <n v="0.15000000000000002"/>
    <n v="714.78199999999993"/>
    <m/>
  </r>
  <r>
    <x v="16"/>
    <s v="Lisa Davis"/>
    <s v="Central"/>
    <s v="Furniture"/>
    <x v="37"/>
    <n v="11"/>
    <n v="0.05"/>
    <d v="2024-05-22T00:00:00"/>
    <n v="468.84"/>
    <n v="0"/>
    <n v="388.82"/>
    <n v="58702.439999999988"/>
  </r>
  <r>
    <x v="13"/>
    <s v="Mary Wilson"/>
    <s v="Central"/>
    <s v="Furniture"/>
    <x v="38"/>
    <n v="13"/>
    <n v="0.15"/>
    <d v="2024-05-22T00:00:00"/>
    <n v="229.99"/>
    <n v="0"/>
    <n v="773.09"/>
    <m/>
  </r>
  <r>
    <x v="20"/>
    <s v="Emma Wilson"/>
    <s v="East"/>
    <s v="Books"/>
    <x v="39"/>
    <n v="19"/>
    <n v="0.15"/>
    <d v="2024-05-23T00:00:00"/>
    <n v="197.35"/>
    <n v="9.9999999999999992E-2"/>
    <n v="522.38699999999994"/>
    <m/>
  </r>
  <r>
    <x v="3"/>
    <s v="David Smith"/>
    <s v="South"/>
    <s v="Books"/>
    <x v="40"/>
    <n v="15"/>
    <n v="0.1"/>
    <d v="2024-06-02T00:00:00"/>
    <n v="414.44"/>
    <n v="9.9999999999999992E-2"/>
    <n v="1036.0890000000002"/>
    <m/>
  </r>
  <r>
    <x v="16"/>
    <s v="James Wilson"/>
    <s v="Central"/>
    <s v="Office Supplies"/>
    <x v="41"/>
    <n v="5"/>
    <n v="0.2"/>
    <d v="2024-06-04T00:00:00"/>
    <n v="369.35"/>
    <n v="0.05"/>
    <n v="974.68099999999993"/>
    <m/>
  </r>
  <r>
    <x v="11"/>
    <s v="David Davis"/>
    <s v="East"/>
    <s v="Office Supplies"/>
    <x v="42"/>
    <n v="11"/>
    <n v="0.15"/>
    <d v="2024-06-04T00:00:00"/>
    <n v="212.83"/>
    <n v="0.15000000000000002"/>
    <n v="472.95699999999994"/>
    <m/>
  </r>
  <r>
    <x v="18"/>
    <s v="James Wilson"/>
    <s v="Central"/>
    <s v="Books"/>
    <x v="43"/>
    <n v="19"/>
    <n v="0.1"/>
    <d v="2024-06-05T00:00:00"/>
    <n v="302.70999999999998"/>
    <n v="9.9999999999999992E-2"/>
    <n v="756.76499999999999"/>
    <m/>
  </r>
  <r>
    <x v="7"/>
    <s v="Emma Wilson"/>
    <s v="North"/>
    <s v="Furniture"/>
    <x v="44"/>
    <n v="12"/>
    <n v="0.15"/>
    <d v="2024-06-05T00:00:00"/>
    <n v="365.11"/>
    <n v="0.05"/>
    <n v="345.95350000000002"/>
    <n v="56348.989999999983"/>
  </r>
  <r>
    <x v="2"/>
    <s v="Linda Davis"/>
    <s v="Central"/>
    <s v="Electronics"/>
    <x v="45"/>
    <n v="2"/>
    <n v="0"/>
    <d v="2024-06-06T00:00:00"/>
    <n v="214.18"/>
    <n v="9.9999999999999992E-2"/>
    <n v="771.03000000000009"/>
    <m/>
  </r>
  <r>
    <x v="17"/>
    <s v="David Davis"/>
    <s v="Central"/>
    <s v="Office Supplies"/>
    <x v="46"/>
    <n v="8"/>
    <n v="0.15"/>
    <d v="2024-06-06T00:00:00"/>
    <n v="468.72"/>
    <n v="0"/>
    <n v="414.44"/>
    <n v="55921.64999999998"/>
  </r>
  <r>
    <x v="21"/>
    <s v="Mary Davis"/>
    <s v="North"/>
    <s v="Office Supplies"/>
    <x v="47"/>
    <n v="12"/>
    <n v="0"/>
    <d v="2024-06-07T00:00:00"/>
    <n v="450.71"/>
    <n v="9.9999999999999992E-2"/>
    <n v="901.41300000000001"/>
    <m/>
  </r>
  <r>
    <x v="18"/>
    <s v="Michael Anderson"/>
    <s v="East"/>
    <s v="Furniture"/>
    <x v="48"/>
    <n v="19"/>
    <n v="0.2"/>
    <d v="2024-06-08T00:00:00"/>
    <n v="332.32"/>
    <n v="0"/>
    <n v="1186.8499999999999"/>
    <m/>
  </r>
  <r>
    <x v="13"/>
    <s v="John Brown"/>
    <s v="South"/>
    <s v="Electronics"/>
    <x v="49"/>
    <n v="6"/>
    <n v="0.1"/>
    <d v="2024-06-14T00:00:00"/>
    <n v="174.48"/>
    <n v="0.15000000000000002"/>
    <n v="659.13250000000005"/>
    <m/>
  </r>
  <r>
    <x v="5"/>
    <s v="Linda Jackson"/>
    <s v="South"/>
    <s v="Electronics"/>
    <x v="50"/>
    <n v="6"/>
    <n v="0.05"/>
    <d v="2024-06-18T00:00:00"/>
    <n v="242.6"/>
    <n v="0.05"/>
    <n v="970.39649999999995"/>
    <m/>
  </r>
  <r>
    <x v="19"/>
    <s v="James Wilson"/>
    <s v="South"/>
    <s v="Clothing"/>
    <x v="51"/>
    <n v="7"/>
    <n v="0.1"/>
    <d v="2024-06-20T00:00:00"/>
    <n v="551.98"/>
    <n v="0"/>
    <n v="128.51"/>
    <n v="54257.209999999977"/>
  </r>
  <r>
    <x v="4"/>
    <s v="Sarah Davis"/>
    <s v="South"/>
    <s v="Furniture"/>
    <x v="52"/>
    <n v="2"/>
    <n v="0"/>
    <d v="2024-06-21T00:00:00"/>
    <n v="380.43"/>
    <n v="0.05"/>
    <n v="1032.5835"/>
    <m/>
  </r>
  <r>
    <x v="22"/>
    <s v="Lisa Davis"/>
    <s v="West"/>
    <s v="Books"/>
    <x v="53"/>
    <n v="18"/>
    <n v="0.1"/>
    <d v="2024-06-23T00:00:00"/>
    <n v="339.44"/>
    <n v="0"/>
    <n v="942.9"/>
    <m/>
  </r>
  <r>
    <x v="8"/>
    <s v="Emma Davis"/>
    <s v="North"/>
    <s v="Electronics"/>
    <x v="54"/>
    <n v="15"/>
    <n v="0.15"/>
    <d v="2024-06-25T00:00:00"/>
    <n v="173.99"/>
    <n v="0.05"/>
    <n v="777.8599999999999"/>
    <m/>
  </r>
  <r>
    <x v="3"/>
    <s v="Robert Anderson"/>
    <s v="South"/>
    <s v="Furniture"/>
    <x v="55"/>
    <n v="10"/>
    <n v="0.2"/>
    <d v="2024-06-25T00:00:00"/>
    <n v="257.33"/>
    <n v="9.9999999999999992E-2"/>
    <n v="827.13599999999997"/>
    <m/>
  </r>
  <r>
    <x v="4"/>
    <s v="Emma Taylor"/>
    <s v="Central"/>
    <s v="Books"/>
    <x v="56"/>
    <n v="11"/>
    <n v="0"/>
    <d v="2024-06-27T00:00:00"/>
    <n v="389.3"/>
    <n v="0.15000000000000002"/>
    <n v="827.27099999999996"/>
    <m/>
  </r>
  <r>
    <x v="12"/>
    <s v="Sarah Davis"/>
    <s v="North"/>
    <s v="Electronics"/>
    <x v="57"/>
    <n v="1"/>
    <n v="0.2"/>
    <d v="2024-06-28T00:00:00"/>
    <n v="148.32"/>
    <n v="0"/>
    <n v="741.61"/>
    <m/>
  </r>
  <r>
    <x v="23"/>
    <s v="Emma Davis"/>
    <s v="North"/>
    <s v="Books"/>
    <x v="58"/>
    <n v="2"/>
    <n v="0.1"/>
    <d v="2024-06-30T00:00:00"/>
    <n v="449.58"/>
    <n v="0.15000000000000002"/>
    <n v="326.08350000000002"/>
    <n v="51822.219999999979"/>
  </r>
  <r>
    <x v="1"/>
    <s v="Mary Wilson"/>
    <s v="West"/>
    <s v="Clothing"/>
    <x v="59"/>
    <n v="17"/>
    <n v="0"/>
    <d v="2024-06-30T00:00:00"/>
    <n v="680.18"/>
    <n v="0.05"/>
    <n v="433.73"/>
    <n v="51441.789999999979"/>
  </r>
  <r>
    <x v="18"/>
    <s v="Mary Davis"/>
    <s v="East"/>
    <s v="Books"/>
    <x v="60"/>
    <n v="8"/>
    <n v="0.1"/>
    <d v="2024-07-05T00:00:00"/>
    <n v="497.99"/>
    <n v="0"/>
    <n v="255.87"/>
    <n v="51102.349999999977"/>
  </r>
  <r>
    <x v="9"/>
    <s v="David Brown"/>
    <s v="Central"/>
    <s v="Office Supplies"/>
    <x v="61"/>
    <n v="9"/>
    <n v="0"/>
    <d v="2024-07-06T00:00:00"/>
    <n v="220.05"/>
    <n v="0.05"/>
    <n v="464.54050000000001"/>
    <m/>
  </r>
  <r>
    <x v="7"/>
    <s v="Mary Davis"/>
    <s v="East"/>
    <s v="Furniture"/>
    <x v="62"/>
    <n v="17"/>
    <n v="0.1"/>
    <d v="2024-07-08T00:00:00"/>
    <n v="294.12"/>
    <n v="0"/>
    <n v="933.71"/>
    <m/>
  </r>
  <r>
    <x v="23"/>
    <s v="James Davis"/>
    <s v="West"/>
    <s v="Electronics"/>
    <x v="63"/>
    <n v="17"/>
    <n v="0.2"/>
    <d v="2024-07-08T00:00:00"/>
    <n v="201.11"/>
    <n v="0.05"/>
    <n v="955.25349999999992"/>
    <m/>
  </r>
  <r>
    <x v="12"/>
    <s v="Emma Wilson"/>
    <s v="South"/>
    <s v="Electronics"/>
    <x v="64"/>
    <n v="5"/>
    <n v="0.05"/>
    <d v="2024-07-09T00:00:00"/>
    <n v="261.27"/>
    <n v="0.15000000000000002"/>
    <n v="935.08499999999992"/>
    <m/>
  </r>
  <r>
    <x v="23"/>
    <s v="James Wilson"/>
    <s v="North"/>
    <s v="Furniture"/>
    <x v="65"/>
    <n v="15"/>
    <n v="0.15"/>
    <d v="2024-07-14T00:00:00"/>
    <n v="307.82"/>
    <n v="0"/>
    <n v="1034.7"/>
    <m/>
  </r>
  <r>
    <x v="22"/>
    <s v="Mary Davis"/>
    <s v="South"/>
    <s v="Books"/>
    <x v="66"/>
    <n v="12"/>
    <n v="0.05"/>
    <d v="2024-07-15T00:00:00"/>
    <n v="333.05"/>
    <n v="9.9999999999999992E-2"/>
    <n v="788.79600000000005"/>
    <m/>
  </r>
  <r>
    <x v="24"/>
    <s v="David Brown"/>
    <s v="West"/>
    <s v="Furniture"/>
    <x v="67"/>
    <n v="5"/>
    <n v="0.05"/>
    <d v="2024-07-15T00:00:00"/>
    <n v="455.97"/>
    <n v="0"/>
    <n v="195.60050000000001"/>
    <n v="48505.659999999982"/>
  </r>
  <r>
    <x v="18"/>
    <s v="Mary Jackson"/>
    <s v="North"/>
    <s v="Electronics"/>
    <x v="68"/>
    <n v="11"/>
    <n v="0.05"/>
    <d v="2024-07-21T00:00:00"/>
    <n v="242.31"/>
    <n v="0"/>
    <n v="1020.26"/>
    <m/>
  </r>
  <r>
    <x v="13"/>
    <s v="James Davis"/>
    <s v="Central"/>
    <s v="Office Supplies"/>
    <x v="69"/>
    <n v="1"/>
    <n v="0.05"/>
    <d v="2024-07-29T00:00:00"/>
    <n v="344.06"/>
    <n v="0"/>
    <n v="804.81"/>
    <m/>
  </r>
  <r>
    <x v="4"/>
    <s v="David Brown"/>
    <s v="Central"/>
    <s v="Electronics"/>
    <x v="70"/>
    <n v="1"/>
    <n v="0.05"/>
    <d v="2024-07-30T00:00:00"/>
    <n v="144.56"/>
    <n v="0"/>
    <n v="608.66"/>
    <m/>
  </r>
  <r>
    <x v="24"/>
    <s v="Linda Moore"/>
    <s v="South"/>
    <s v="Office Supplies"/>
    <x v="71"/>
    <n v="19"/>
    <n v="0"/>
    <d v="2024-07-31T00:00:00"/>
    <n v="441.54"/>
    <n v="0"/>
    <n v="981.2"/>
    <m/>
  </r>
  <r>
    <x v="25"/>
    <s v="David Brown"/>
    <s v="East"/>
    <s v="Electronics"/>
    <x v="72"/>
    <n v="10"/>
    <n v="0.15"/>
    <d v="2024-08-05T00:00:00"/>
    <n v="114.7"/>
    <n v="0"/>
    <n v="539.77"/>
    <m/>
  </r>
  <r>
    <x v="1"/>
    <s v="David Anderson"/>
    <s v="South"/>
    <s v="Books"/>
    <x v="73"/>
    <n v="5"/>
    <n v="0.2"/>
    <d v="2024-08-05T00:00:00"/>
    <n v="257.42"/>
    <n v="9.9999999999999992E-2"/>
    <n v="724.00500000000011"/>
    <m/>
  </r>
  <r>
    <x v="25"/>
    <s v="Emma Davis"/>
    <s v="West"/>
    <s v="Electronics"/>
    <x v="74"/>
    <n v="13"/>
    <n v="0.2"/>
    <d v="2024-08-08T00:00:00"/>
    <n v="305.32"/>
    <n v="0.15000000000000002"/>
    <n v="293.32299999999998"/>
    <n v="46432.26999999999"/>
  </r>
  <r>
    <x v="1"/>
    <s v="Linda Wilson"/>
    <s v="West"/>
    <s v="Electronics"/>
    <x v="75"/>
    <n v="5"/>
    <n v="0.15"/>
    <d v="2024-08-09T00:00:00"/>
    <n v="258.24"/>
    <n v="0.15000000000000002"/>
    <n v="384.3005"/>
    <n v="46189.959999999992"/>
  </r>
  <r>
    <x v="3"/>
    <s v="Linda Taylor"/>
    <s v="Central"/>
    <s v="Furniture"/>
    <x v="76"/>
    <n v="3"/>
    <n v="0"/>
    <d v="2024-08-15T00:00:00"/>
    <n v="441.47"/>
    <n v="9.9999999999999992E-2"/>
    <n v="174.99299999999999"/>
    <n v="45845.899999999994"/>
  </r>
  <r>
    <x v="26"/>
    <s v="Lisa Thomas"/>
    <s v="North"/>
    <s v="Furniture"/>
    <x v="77"/>
    <n v="7"/>
    <n v="0.05"/>
    <d v="2024-08-18T00:00:00"/>
    <n v="172.26"/>
    <n v="0"/>
    <n v="518.07000000000005"/>
    <m/>
  </r>
  <r>
    <x v="7"/>
    <s v="Linda Wilson"/>
    <s v="West"/>
    <s v="Office Supplies"/>
    <x v="78"/>
    <n v="1"/>
    <n v="0"/>
    <d v="2024-08-19T00:00:00"/>
    <n v="500.1"/>
    <n v="0"/>
    <n v="1111.3399999999999"/>
    <m/>
  </r>
  <r>
    <x v="4"/>
    <s v="Mary Davis"/>
    <s v="East"/>
    <s v="Clothing"/>
    <x v="79"/>
    <n v="18"/>
    <n v="0.1"/>
    <d v="2024-08-22T00:00:00"/>
    <n v="581.16"/>
    <n v="0"/>
    <n v="337.86500000000001"/>
    <n v="45145.099999999991"/>
  </r>
  <r>
    <x v="5"/>
    <s v="David Brown"/>
    <s v="North"/>
    <s v="Books"/>
    <x v="80"/>
    <n v="19"/>
    <n v="0"/>
    <d v="2024-08-30T00:00:00"/>
    <n v="271.88"/>
    <n v="0.05"/>
    <n v="645.72450000000003"/>
    <m/>
  </r>
  <r>
    <x v="24"/>
    <s v="Linda Jackson"/>
    <s v="East"/>
    <s v="Furniture"/>
    <x v="81"/>
    <n v="17"/>
    <n v="0"/>
    <d v="2024-08-30T00:00:00"/>
    <n v="400.29"/>
    <n v="0"/>
    <n v="1143.69"/>
    <m/>
  </r>
  <r>
    <x v="16"/>
    <s v="Linda Brown"/>
    <s v="Central"/>
    <s v="Electronics"/>
    <x v="82"/>
    <n v="7"/>
    <n v="0.1"/>
    <d v="2024-09-01T00:00:00"/>
    <n v="177.77"/>
    <n v="0"/>
    <n v="790.08"/>
    <m/>
  </r>
  <r>
    <x v="3"/>
    <s v="Lisa Davis"/>
    <s v="Central"/>
    <s v="Books"/>
    <x v="83"/>
    <n v="7"/>
    <n v="0.05"/>
    <d v="2024-09-01T00:00:00"/>
    <n v="406.86"/>
    <n v="0.05"/>
    <n v="1017.146"/>
    <m/>
  </r>
  <r>
    <x v="19"/>
    <s v="David Thomas"/>
    <s v="West"/>
    <s v="Clothing"/>
    <x v="84"/>
    <n v="4"/>
    <n v="0.1"/>
    <d v="2024-09-09T00:00:00"/>
    <n v="526"/>
    <n v="0"/>
    <n v="1168.8900000000001"/>
    <m/>
  </r>
  <r>
    <x v="23"/>
    <s v="James Davis"/>
    <s v="South"/>
    <s v="Electronics"/>
    <x v="85"/>
    <n v="17"/>
    <n v="0"/>
    <d v="2024-09-09T00:00:00"/>
    <n v="333.97"/>
    <n v="0.05"/>
    <n v="710.30700000000002"/>
    <n v="43210.289999999994"/>
  </r>
  <r>
    <x v="11"/>
    <s v="David Brown"/>
    <s v="East"/>
    <s v="Furniture"/>
    <x v="86"/>
    <n v="9"/>
    <n v="0"/>
    <d v="2024-09-11T00:00:00"/>
    <n v="305.8"/>
    <n v="0"/>
    <n v="873.7"/>
    <m/>
  </r>
  <r>
    <x v="26"/>
    <s v="Sarah Davis"/>
    <s v="West"/>
    <s v="Office Supplies"/>
    <x v="87"/>
    <n v="19"/>
    <n v="0"/>
    <d v="2024-09-12T00:00:00"/>
    <n v="649.79"/>
    <n v="0"/>
    <n v="400.29"/>
    <n v="42357.249999999993"/>
  </r>
  <r>
    <x v="11"/>
    <s v="James Wilson"/>
    <s v="East"/>
    <s v="Office Supplies"/>
    <x v="88"/>
    <n v="11"/>
    <n v="0.15"/>
    <d v="2024-09-14T00:00:00"/>
    <n v="441.53"/>
    <n v="0"/>
    <n v="1154.33"/>
    <m/>
  </r>
  <r>
    <x v="15"/>
    <s v="Linda Brown"/>
    <s v="South"/>
    <s v="Books"/>
    <x v="89"/>
    <n v="16"/>
    <n v="0.05"/>
    <d v="2024-09-14T00:00:00"/>
    <n v="480.51"/>
    <n v="9.9999999999999992E-2"/>
    <n v="406.86"/>
    <n v="41779.189999999995"/>
  </r>
  <r>
    <x v="5"/>
    <s v="Emma Taylor"/>
    <s v="West"/>
    <s v="Furniture"/>
    <x v="90"/>
    <n v="4"/>
    <n v="0.1"/>
    <d v="2024-09-16T00:00:00"/>
    <n v="346.99"/>
    <n v="0"/>
    <n v="1101.55"/>
    <m/>
  </r>
  <r>
    <x v="27"/>
    <s v="Robert Anderson"/>
    <s v="South"/>
    <s v="Furniture"/>
    <x v="91"/>
    <n v="1"/>
    <n v="0.1"/>
    <d v="2024-09-17T00:00:00"/>
    <n v="229.23"/>
    <n v="0.05"/>
    <n v="691.34349999999995"/>
    <m/>
  </r>
  <r>
    <x v="28"/>
    <s v="Emma Davis"/>
    <s v="East"/>
    <s v="Office Supplies"/>
    <x v="92"/>
    <n v="13"/>
    <n v="0.15"/>
    <d v="2024-09-17T00:00:00"/>
    <n v="334.84"/>
    <n v="0.05"/>
    <n v="831.63949999999988"/>
    <m/>
  </r>
  <r>
    <x v="23"/>
    <s v="James Wilson"/>
    <s v="West"/>
    <s v="Electronics"/>
    <x v="93"/>
    <n v="19"/>
    <n v="0.2"/>
    <d v="2024-09-18T00:00:00"/>
    <n v="231.79"/>
    <n v="9.9999999999999992E-2"/>
    <n v="1043.046"/>
    <m/>
  </r>
  <r>
    <x v="29"/>
    <s v="Mary Jackson"/>
    <s v="South"/>
    <s v="Books"/>
    <x v="94"/>
    <n v="2"/>
    <n v="0.15"/>
    <d v="2024-09-22T00:00:00"/>
    <n v="328.54"/>
    <n v="0.15000000000000002"/>
    <n v="821.3549999999999"/>
    <m/>
  </r>
  <r>
    <x v="24"/>
    <s v="James Taylor"/>
    <s v="South"/>
    <s v="Books"/>
    <x v="95"/>
    <n v="6"/>
    <n v="0"/>
    <d v="2024-09-23T00:00:00"/>
    <n v="366.99"/>
    <n v="9.9999999999999992E-2"/>
    <n v="825.73200000000008"/>
    <m/>
  </r>
  <r>
    <x v="12"/>
    <s v="Emma Wilson"/>
    <s v="West"/>
    <s v="Furniture"/>
    <x v="96"/>
    <n v="7"/>
    <n v="0.15"/>
    <d v="2024-09-24T00:00:00"/>
    <n v="348.96"/>
    <n v="0"/>
    <n v="1172.97"/>
    <m/>
  </r>
  <r>
    <x v="18"/>
    <s v="James Wilson"/>
    <s v="North"/>
    <s v="Clothing"/>
    <x v="97"/>
    <n v="11"/>
    <n v="0.1"/>
    <d v="2024-09-24T00:00:00"/>
    <n v="542.62"/>
    <n v="9.9999999999999992E-2"/>
    <n v="265.61649999999997"/>
    <n v="38287.74"/>
  </r>
  <r>
    <x v="2"/>
    <s v="Sarah Davis"/>
    <s v="West"/>
    <s v="Office Supplies"/>
    <x v="98"/>
    <n v="10"/>
    <n v="0.2"/>
    <d v="2024-09-29T00:00:00"/>
    <n v="297.69"/>
    <n v="0.05"/>
    <n v="785.58349999999996"/>
    <m/>
  </r>
  <r>
    <x v="23"/>
    <s v="James Wilson"/>
    <s v="Central"/>
    <s v="Clothing"/>
    <x v="99"/>
    <n v="12"/>
    <n v="0"/>
    <d v="2024-09-29T00:00:00"/>
    <n v="451.1"/>
    <n v="0.15000000000000002"/>
    <n v="766.86149999999998"/>
    <m/>
  </r>
  <r>
    <x v="28"/>
    <s v="Emma Davis"/>
    <s v="North"/>
    <s v="Books"/>
    <x v="100"/>
    <n v="17"/>
    <n v="0.1"/>
    <d v="2024-09-30T00:00:00"/>
    <n v="210.95"/>
    <n v="0"/>
    <n v="585.97"/>
    <m/>
  </r>
  <r>
    <x v="20"/>
    <s v="Michael Anderson"/>
    <s v="North"/>
    <s v="Clothing"/>
    <x v="101"/>
    <n v="8"/>
    <n v="0.1"/>
    <d v="2024-09-30T00:00:00"/>
    <n v="445.59"/>
    <n v="0.05"/>
    <n v="940.68050000000005"/>
    <m/>
  </r>
  <r>
    <x v="13"/>
    <s v="David Davis"/>
    <s v="Central"/>
    <s v="Electronics"/>
    <x v="102"/>
    <n v="13"/>
    <n v="0.2"/>
    <d v="2024-10-02T00:00:00"/>
    <n v="202.82"/>
    <n v="0.05"/>
    <n v="963.38549999999998"/>
    <m/>
  </r>
  <r>
    <x v="1"/>
    <s v="Lisa Davis"/>
    <s v="North"/>
    <s v="Electronics"/>
    <x v="103"/>
    <n v="17"/>
    <n v="0"/>
    <d v="2024-10-05T00:00:00"/>
    <n v="231.32"/>
    <n v="0.15000000000000002"/>
    <n v="786.49649999999997"/>
    <m/>
  </r>
  <r>
    <x v="17"/>
    <s v="Mary Jackson"/>
    <s v="East"/>
    <s v="Furniture"/>
    <x v="104"/>
    <n v="8"/>
    <n v="0"/>
    <d v="2024-10-10T00:00:00"/>
    <n v="450.29"/>
    <n v="0"/>
    <n v="421.72950000000003"/>
    <n v="35904.769999999997"/>
  </r>
  <r>
    <x v="10"/>
    <s v="Sarah Davis"/>
    <s v="South"/>
    <s v="Books"/>
    <x v="105"/>
    <n v="8"/>
    <n v="0.2"/>
    <d v="2024-10-12T00:00:00"/>
    <n v="307.72000000000003"/>
    <n v="0"/>
    <n v="961.62"/>
    <m/>
  </r>
  <r>
    <x v="13"/>
    <s v="James Wilson"/>
    <s v="East"/>
    <s v="Books"/>
    <x v="106"/>
    <n v="19"/>
    <n v="0.15"/>
    <d v="2024-10-12T00:00:00"/>
    <n v="367.59"/>
    <n v="0.15000000000000002"/>
    <n v="918.96900000000005"/>
    <m/>
  </r>
  <r>
    <x v="19"/>
    <s v="James Wilson"/>
    <s v="West"/>
    <s v="Clothing"/>
    <x v="107"/>
    <n v="9"/>
    <n v="0.2"/>
    <d v="2024-10-15T00:00:00"/>
    <n v="769.46"/>
    <n v="9.9999999999999992E-2"/>
    <n v="495.09949999999998"/>
    <n v="34945.03"/>
  </r>
  <r>
    <x v="17"/>
    <s v="Emma Taylor"/>
    <s v="Central"/>
    <s v="Clothing"/>
    <x v="108"/>
    <n v="14"/>
    <n v="0.1"/>
    <d v="2024-10-16T00:00:00"/>
    <n v="327.92"/>
    <n v="0.15000000000000002"/>
    <n v="619.40350000000001"/>
    <m/>
  </r>
  <r>
    <x v="0"/>
    <s v="Linda Jackson"/>
    <s v="Central"/>
    <s v="Clothing"/>
    <x v="109"/>
    <n v="7"/>
    <n v="0.15"/>
    <d v="2024-10-16T00:00:00"/>
    <n v="553.29999999999995"/>
    <n v="0.05"/>
    <n v="92.52649999999997"/>
    <n v="34296.619999999995"/>
  </r>
  <r>
    <x v="25"/>
    <s v="Emma Taylor"/>
    <s v="East"/>
    <s v="Books"/>
    <x v="110"/>
    <n v="16"/>
    <n v="0.1"/>
    <d v="2024-10-17T00:00:00"/>
    <n v="352.86"/>
    <n v="9.9999999999999992E-2"/>
    <n v="882.16199999999992"/>
    <m/>
  </r>
  <r>
    <x v="28"/>
    <s v="James Wilson"/>
    <s v="West"/>
    <s v="Clothing"/>
    <x v="111"/>
    <n v="17"/>
    <n v="0.1"/>
    <d v="2024-10-19T00:00:00"/>
    <n v="313.91000000000003"/>
    <n v="0.05"/>
    <n v="662.69150000000002"/>
    <m/>
  </r>
  <r>
    <x v="14"/>
    <s v="David Anderson"/>
    <s v="West"/>
    <s v="Furniture"/>
    <x v="112"/>
    <n v="1"/>
    <n v="0.15"/>
    <d v="2024-10-19T00:00:00"/>
    <n v="355.1"/>
    <n v="0.05"/>
    <n v="1133.9295"/>
    <m/>
  </r>
  <r>
    <x v="8"/>
    <s v="Emma Davis"/>
    <s v="South"/>
    <s v="Electronics"/>
    <x v="113"/>
    <n v="1"/>
    <n v="0"/>
    <d v="2024-10-20T00:00:00"/>
    <n v="192.76"/>
    <n v="9.9999999999999992E-2"/>
    <n v="693.91800000000001"/>
    <m/>
  </r>
  <r>
    <x v="23"/>
    <s v="Linda Moore"/>
    <s v="North"/>
    <s v="Clothing"/>
    <x v="114"/>
    <n v="1"/>
    <n v="0.2"/>
    <d v="2024-10-28T00:00:00"/>
    <n v="264.44"/>
    <n v="0"/>
    <n v="661.09"/>
    <m/>
  </r>
  <r>
    <x v="1"/>
    <s v="David Brown"/>
    <s v="West"/>
    <s v="Electronics"/>
    <x v="115"/>
    <n v="15"/>
    <n v="0"/>
    <d v="2024-10-30T00:00:00"/>
    <n v="172.21"/>
    <n v="0.15000000000000002"/>
    <n v="585.50549999999998"/>
    <m/>
  </r>
  <r>
    <x v="27"/>
    <s v="Linda Wilson"/>
    <s v="Central"/>
    <s v="Books"/>
    <x v="116"/>
    <n v="4"/>
    <n v="0.05"/>
    <d v="2024-11-01T00:00:00"/>
    <n v="474.66"/>
    <n v="0"/>
    <n v="352.86"/>
    <n v="31289.020000000004"/>
  </r>
  <r>
    <x v="13"/>
    <s v="James Wilson"/>
    <s v="East"/>
    <s v="Office Supplies"/>
    <x v="117"/>
    <n v="14"/>
    <n v="0.05"/>
    <d v="2024-11-03T00:00:00"/>
    <n v="433.58"/>
    <n v="0"/>
    <n v="1014.22"/>
    <m/>
  </r>
  <r>
    <x v="17"/>
    <s v="Lisa Davis"/>
    <s v="East"/>
    <s v="Books"/>
    <x v="118"/>
    <n v="2"/>
    <n v="0.15"/>
    <d v="2024-11-09T00:00:00"/>
    <n v="343.6"/>
    <n v="0"/>
    <n v="1010.58"/>
    <m/>
  </r>
  <r>
    <x v="7"/>
    <s v="Mary Wilson"/>
    <s v="North"/>
    <s v="Furniture"/>
    <x v="119"/>
    <n v="4"/>
    <n v="0.05"/>
    <d v="2024-11-09T00:00:00"/>
    <n v="318.3"/>
    <n v="9.9999999999999992E-2"/>
    <n v="861.56100000000004"/>
    <m/>
  </r>
  <r>
    <x v="6"/>
    <s v="Lisa Thomas"/>
    <s v="North"/>
    <s v="Furniture"/>
    <x v="120"/>
    <n v="3"/>
    <n v="0.05"/>
    <d v="2024-11-12T00:00:00"/>
    <n v="358.41"/>
    <n v="0"/>
    <n v="1077.92"/>
    <m/>
  </r>
  <r>
    <x v="16"/>
    <s v="Linda Brown"/>
    <s v="South"/>
    <s v="Clothing"/>
    <x v="121"/>
    <n v="5"/>
    <n v="0"/>
    <d v="2024-11-15T00:00:00"/>
    <n v="581.5"/>
    <n v="0"/>
    <n v="1163.01"/>
    <m/>
  </r>
  <r>
    <x v="17"/>
    <s v="Lisa Thomas"/>
    <s v="East"/>
    <s v="Office Supplies"/>
    <x v="122"/>
    <n v="10"/>
    <n v="0.1"/>
    <d v="2024-11-16T00:00:00"/>
    <n v="410.9"/>
    <n v="0"/>
    <n v="1014.56"/>
    <m/>
  </r>
  <r>
    <x v="0"/>
    <s v="James Taylor"/>
    <s v="South"/>
    <s v="Electronics"/>
    <x v="123"/>
    <n v="14"/>
    <n v="0"/>
    <d v="2024-11-17T00:00:00"/>
    <n v="179.51"/>
    <n v="0.05"/>
    <n v="682.13799999999992"/>
    <m/>
  </r>
  <r>
    <x v="26"/>
    <s v="James Taylor"/>
    <s v="Central"/>
    <s v="Clothing"/>
    <x v="124"/>
    <n v="18"/>
    <n v="0.2"/>
    <d v="2024-11-17T00:00:00"/>
    <n v="511.14"/>
    <n v="0"/>
    <n v="495.18700000000001"/>
    <n v="28729.500000000004"/>
  </r>
  <r>
    <x v="25"/>
    <s v="James Wilson"/>
    <s v="North"/>
    <s v="Electronics"/>
    <x v="125"/>
    <n v="1"/>
    <n v="0.15"/>
    <d v="2024-11-17T00:00:00"/>
    <n v="150.18"/>
    <n v="0.15000000000000002"/>
    <n v="600.72050000000002"/>
    <m/>
  </r>
  <r>
    <x v="22"/>
    <s v="Linda Brown"/>
    <s v="East"/>
    <s v="Electronics"/>
    <x v="126"/>
    <n v="15"/>
    <n v="0"/>
    <d v="2024-11-19T00:00:00"/>
    <n v="352.65"/>
    <n v="9.9999999999999992E-2"/>
    <n v="412.30600000000004"/>
    <n v="28067.600000000002"/>
  </r>
  <r>
    <x v="8"/>
    <s v="Emma Wilson"/>
    <s v="South"/>
    <s v="Furniture"/>
    <x v="127"/>
    <n v="10"/>
    <n v="0"/>
    <d v="2024-11-19T00:00:00"/>
    <n v="472.62"/>
    <n v="0"/>
    <n v="581.5"/>
    <n v="27709.190000000002"/>
  </r>
  <r>
    <x v="12"/>
    <s v="Lisa Thomas"/>
    <s v="East"/>
    <s v="Electronics"/>
    <x v="128"/>
    <n v="4"/>
    <n v="0.15"/>
    <d v="2024-11-19T00:00:00"/>
    <n v="195.33"/>
    <n v="0"/>
    <n v="919.18"/>
    <m/>
  </r>
  <r>
    <x v="28"/>
    <s v="James Wilson"/>
    <s v="West"/>
    <s v="Electronics"/>
    <x v="129"/>
    <n v="19"/>
    <n v="0"/>
    <d v="2024-11-20T00:00:00"/>
    <n v="64.63"/>
    <n v="9.9999999999999992E-2"/>
    <n v="232.65899999999999"/>
    <m/>
  </r>
  <r>
    <x v="21"/>
    <s v="Emma Wilson"/>
    <s v="East"/>
    <s v="Books"/>
    <x v="130"/>
    <n v="5"/>
    <n v="0.05"/>
    <d v="2024-11-20T00:00:00"/>
    <n v="461.12"/>
    <n v="0"/>
    <n v="766.71"/>
    <n v="26537.28000000001"/>
  </r>
  <r>
    <x v="18"/>
    <s v="Emma Davis"/>
    <s v="Central"/>
    <s v="Books"/>
    <x v="131"/>
    <n v="8"/>
    <n v="0.05"/>
    <d v="2024-11-26T00:00:00"/>
    <n v="437.11"/>
    <n v="0"/>
    <n v="1150.28"/>
    <m/>
  </r>
  <r>
    <x v="10"/>
    <s v="David Anderson"/>
    <s v="South"/>
    <s v="Furniture"/>
    <x v="132"/>
    <n v="8"/>
    <n v="0.1"/>
    <d v="2024-11-26T00:00:00"/>
    <n v="268.97000000000003"/>
    <n v="0"/>
    <n v="853.86"/>
    <m/>
  </r>
  <r>
    <x v="29"/>
    <s v="Lisa Thomas"/>
    <s v="South"/>
    <s v="Electronics"/>
    <x v="133"/>
    <n v="1"/>
    <n v="0"/>
    <d v="2024-11-28T00:00:00"/>
    <n v="265.26"/>
    <n v="0.05"/>
    <n v="1007.9879999999999"/>
    <m/>
  </r>
  <r>
    <x v="6"/>
    <s v="Sarah Anderson"/>
    <s v="West"/>
    <s v="Electronics"/>
    <x v="134"/>
    <n v="19"/>
    <n v="0.2"/>
    <d v="2024-11-29T00:00:00"/>
    <n v="178.91"/>
    <n v="0"/>
    <n v="894.55"/>
    <m/>
  </r>
  <r>
    <x v="5"/>
    <s v="Emma Davis"/>
    <s v="North"/>
    <s v="Office Supplies"/>
    <x v="135"/>
    <n v="3"/>
    <n v="0.05"/>
    <d v="2024-11-30T00:00:00"/>
    <n v="356.5"/>
    <n v="0.15000000000000002"/>
    <n v="708.82349999999997"/>
    <m/>
  </r>
  <r>
    <x v="19"/>
    <s v="David Anderson"/>
    <s v="West"/>
    <s v="Furniture"/>
    <x v="136"/>
    <n v="4"/>
    <n v="0.2"/>
    <d v="2024-12-04T00:00:00"/>
    <n v="229.65"/>
    <n v="0"/>
    <n v="820.19"/>
    <m/>
  </r>
  <r>
    <x v="19"/>
    <s v="Emma Davis"/>
    <s v="Central"/>
    <s v="Electronics"/>
    <x v="137"/>
    <n v="8"/>
    <n v="0.05"/>
    <d v="2024-12-05T00:00:00"/>
    <n v="121.54"/>
    <n v="0.15000000000000002"/>
    <n v="434.97899999999998"/>
    <m/>
  </r>
  <r>
    <x v="22"/>
    <s v="Emma Wilson"/>
    <s v="South"/>
    <s v="Furniture"/>
    <x v="138"/>
    <n v="19"/>
    <n v="0.05"/>
    <d v="2024-12-12T00:00:00"/>
    <n v="268"/>
    <n v="0"/>
    <n v="806.03"/>
    <m/>
  </r>
  <r>
    <x v="6"/>
    <s v="Michael Anderson"/>
    <s v="Central"/>
    <s v="Furniture"/>
    <x v="139"/>
    <n v="16"/>
    <n v="0.15"/>
    <d v="2024-12-14T00:00:00"/>
    <n v="426.16"/>
    <n v="0"/>
    <n v="212.208"/>
    <n v="23623.530000000006"/>
  </r>
  <r>
    <x v="28"/>
    <s v="Linda Wilson"/>
    <s v="Central"/>
    <s v="Electronics"/>
    <x v="140"/>
    <n v="10"/>
    <n v="0.15"/>
    <d v="2024-12-14T00:00:00"/>
    <n v="316.32"/>
    <n v="9.9999999999999992E-2"/>
    <n v="357.82"/>
    <n v="23358.270000000004"/>
  </r>
  <r>
    <x v="7"/>
    <s v="Emma Taylor"/>
    <s v="East"/>
    <s v="Books"/>
    <x v="141"/>
    <n v="9"/>
    <n v="0"/>
    <d v="2024-12-20T00:00:00"/>
    <n v="492.5"/>
    <n v="9.9999999999999992E-2"/>
    <n v="273.10899999999998"/>
    <n v="23179.360000000004"/>
  </r>
  <r>
    <x v="7"/>
    <s v="Sarah Anderson"/>
    <s v="West"/>
    <s v="Electronics"/>
    <x v="142"/>
    <n v="19"/>
    <n v="0.2"/>
    <d v="2024-12-21T00:00:00"/>
    <n v="232.33"/>
    <n v="0"/>
    <n v="1161.67"/>
    <m/>
  </r>
  <r>
    <x v="15"/>
    <s v="Lisa Thomas"/>
    <s v="Central"/>
    <s v="Office Supplies"/>
    <x v="143"/>
    <n v="16"/>
    <n v="0.05"/>
    <d v="2024-12-24T00:00:00"/>
    <n v="165.97"/>
    <n v="0.15000000000000002"/>
    <n v="329.99549999999999"/>
    <m/>
  </r>
  <r>
    <x v="26"/>
    <s v="Mary Davis"/>
    <s v="North"/>
    <s v="Clothing"/>
    <x v="144"/>
    <n v="6"/>
    <n v="0.15"/>
    <d v="2024-12-25T00:00:00"/>
    <n v="675.5"/>
    <n v="0"/>
    <n v="308.30150000000003"/>
    <n v="22471.670000000006"/>
  </r>
  <r>
    <x v="6"/>
    <s v="David Anderson"/>
    <s v="North"/>
    <s v="Clothing"/>
    <x v="145"/>
    <n v="13"/>
    <n v="0.2"/>
    <d v="2024-12-25T00:00:00"/>
    <n v="134.66"/>
    <n v="9.9999999999999992E-2"/>
    <n v="302.99400000000003"/>
    <m/>
  </r>
  <r>
    <x v="15"/>
    <s v="James Wilson"/>
    <s v="West"/>
    <s v="Books"/>
    <x v="146"/>
    <n v="14"/>
    <n v="0.1"/>
    <d v="2024-12-30T00:00:00"/>
    <n v="487.36"/>
    <n v="0.15000000000000002"/>
    <n v="390.74900000000002"/>
    <n v="21777.510000000009"/>
  </r>
  <r>
    <x v="21"/>
    <s v="Linda Moore"/>
    <s v="Central"/>
    <s v="Clothing"/>
    <x v="147"/>
    <n v="11"/>
    <n v="0.05"/>
    <d v="2025-01-01T00:00:00"/>
    <n v="314.74"/>
    <n v="0.05"/>
    <n v="629.47950000000003"/>
    <m/>
  </r>
  <r>
    <x v="16"/>
    <s v="Lisa Davis"/>
    <s v="North"/>
    <s v="Office Supplies"/>
    <x v="148"/>
    <n v="1"/>
    <n v="0.2"/>
    <d v="2025-01-01T00:00:00"/>
    <n v="111.39"/>
    <n v="0"/>
    <n v="309.42"/>
    <m/>
  </r>
  <r>
    <x v="21"/>
    <s v="Linda Wilson"/>
    <s v="North"/>
    <s v="Books"/>
    <x v="149"/>
    <n v="18"/>
    <n v="0.1"/>
    <d v="2025-01-02T00:00:00"/>
    <n v="318.47000000000003"/>
    <n v="0.15000000000000002"/>
    <n v="751.93549999999993"/>
    <m/>
  </r>
  <r>
    <x v="16"/>
    <s v="James Wilson"/>
    <s v="Central"/>
    <s v="Office Supplies"/>
    <x v="150"/>
    <n v="10"/>
    <n v="0.1"/>
    <d v="2025-01-03T00:00:00"/>
    <n v="301.75"/>
    <n v="0.05"/>
    <n v="707.7974999999999"/>
    <m/>
  </r>
  <r>
    <x v="20"/>
    <s v="James Taylor"/>
    <s v="South"/>
    <s v="Clothing"/>
    <x v="151"/>
    <n v="5"/>
    <n v="0.05"/>
    <d v="2025-01-03T00:00:00"/>
    <n v="413.36"/>
    <n v="0.05"/>
    <n v="826.71849999999995"/>
    <m/>
  </r>
  <r>
    <x v="9"/>
    <s v="Linda Wilson"/>
    <s v="West"/>
    <s v="Furniture"/>
    <x v="152"/>
    <n v="18"/>
    <n v="0.05"/>
    <d v="2025-01-06T00:00:00"/>
    <n v="286.68"/>
    <n v="0"/>
    <n v="862.19"/>
    <m/>
  </r>
  <r>
    <x v="27"/>
    <s v="Mary Wilson"/>
    <s v="North"/>
    <s v="Clothing"/>
    <x v="153"/>
    <n v="19"/>
    <n v="0.05"/>
    <d v="2025-01-10T00:00:00"/>
    <n v="556.30999999999995"/>
    <n v="0"/>
    <n v="1171.18"/>
    <m/>
  </r>
  <r>
    <x v="19"/>
    <s v="Robert Anderson"/>
    <s v="South"/>
    <s v="Furniture"/>
    <x v="154"/>
    <n v="11"/>
    <n v="0.1"/>
    <d v="2025-01-12T00:00:00"/>
    <n v="332.19"/>
    <n v="0"/>
    <n v="1054.56"/>
    <m/>
  </r>
  <r>
    <x v="19"/>
    <s v="James Wilson"/>
    <s v="North"/>
    <s v="Electronics"/>
    <x v="155"/>
    <n v="5"/>
    <n v="0.2"/>
    <d v="2025-01-13T00:00:00"/>
    <n v="336.24"/>
    <n v="0.05"/>
    <n v="274.23850000000004"/>
    <n v="18846.740000000005"/>
  </r>
  <r>
    <x v="19"/>
    <s v="David Thomas"/>
    <s v="West"/>
    <s v="Clothing"/>
    <x v="156"/>
    <n v="9"/>
    <n v="0.05"/>
    <d v="2025-01-16T00:00:00"/>
    <n v="180.39"/>
    <n v="0.15000000000000002"/>
    <n v="322.80449999999996"/>
    <m/>
  </r>
  <r>
    <x v="13"/>
    <s v="Lisa Thomas"/>
    <s v="Central"/>
    <s v="Clothing"/>
    <x v="157"/>
    <n v="2"/>
    <n v="0.1"/>
    <d v="2025-01-17T00:00:00"/>
    <n v="484.35"/>
    <n v="0"/>
    <n v="1076.33"/>
    <m/>
  </r>
  <r>
    <x v="13"/>
    <s v="Mary Davis"/>
    <s v="Central"/>
    <s v="Office Supplies"/>
    <x v="158"/>
    <n v="7"/>
    <n v="0"/>
    <d v="2025-01-17T00:00:00"/>
    <n v="562.82000000000005"/>
    <n v="0.05"/>
    <n v="329.78950000000003"/>
    <n v="17813.16"/>
  </r>
  <r>
    <x v="11"/>
    <s v="James Taylor"/>
    <s v="South"/>
    <s v="Clothing"/>
    <x v="159"/>
    <n v="6"/>
    <n v="0.2"/>
    <d v="2025-01-17T00:00:00"/>
    <n v="447.34"/>
    <n v="0"/>
    <n v="1118.3399999999999"/>
    <m/>
  </r>
  <r>
    <x v="25"/>
    <s v="Linda Taylor"/>
    <s v="North"/>
    <s v="Clothing"/>
    <x v="160"/>
    <n v="12"/>
    <n v="0.2"/>
    <d v="2025-01-20T00:00:00"/>
    <n v="649.04999999999995"/>
    <n v="0.15000000000000002"/>
    <n v="437.64600000000002"/>
    <n v="16970.169999999998"/>
  </r>
  <r>
    <x v="29"/>
    <s v="Lisa Davis"/>
    <s v="North"/>
    <s v="Books"/>
    <x v="161"/>
    <n v="11"/>
    <n v="0.2"/>
    <d v="2025-01-21T00:00:00"/>
    <n v="205"/>
    <n v="0.15000000000000002"/>
    <n v="544.54399999999998"/>
    <m/>
  </r>
  <r>
    <x v="4"/>
    <s v="Sarah Anderson"/>
    <s v="West"/>
    <s v="Clothing"/>
    <x v="162"/>
    <n v="17"/>
    <n v="0.1"/>
    <d v="2025-01-27T00:00:00"/>
    <n v="263.32"/>
    <n v="0.15000000000000002"/>
    <n v="497.38599999999997"/>
    <m/>
  </r>
  <r>
    <x v="4"/>
    <s v="Mary Davis"/>
    <s v="East"/>
    <s v="Clothing"/>
    <x v="163"/>
    <n v="5"/>
    <n v="0.2"/>
    <d v="2025-02-02T00:00:00"/>
    <n v="443.99"/>
    <n v="0.05"/>
    <n v="1054.481"/>
    <m/>
  </r>
  <r>
    <x v="19"/>
    <s v="Lisa Thomas"/>
    <s v="East"/>
    <s v="Books"/>
    <x v="164"/>
    <n v="9"/>
    <n v="0.1"/>
    <d v="2025-02-04T00:00:00"/>
    <n v="395.31"/>
    <n v="0.15000000000000002"/>
    <n v="933.36799999999994"/>
    <m/>
  </r>
  <r>
    <x v="22"/>
    <s v="Lisa Davis"/>
    <s v="West"/>
    <s v="Office Supplies"/>
    <x v="165"/>
    <n v="7"/>
    <n v="0.1"/>
    <d v="2025-02-05T00:00:00"/>
    <n v="335.04"/>
    <n v="0.05"/>
    <n v="785.88749999999993"/>
    <m/>
  </r>
  <r>
    <x v="25"/>
    <s v="Linda Wilson"/>
    <s v="Central"/>
    <s v="Clothing"/>
    <x v="166"/>
    <n v="16"/>
    <n v="0.1"/>
    <d v="2025-02-07T00:00:00"/>
    <n v="333.85"/>
    <n v="0.05"/>
    <n v="704.78599999999994"/>
    <m/>
  </r>
  <r>
    <x v="26"/>
    <s v="James Davis"/>
    <s v="East"/>
    <s v="Office Supplies"/>
    <x v="167"/>
    <n v="6"/>
    <n v="0.1"/>
    <d v="2025-02-10T00:00:00"/>
    <n v="531.05999999999995"/>
    <n v="0.05"/>
    <n v="237.03199999999998"/>
    <n v="13977.789999999999"/>
  </r>
  <r>
    <x v="26"/>
    <s v="Mary Davis"/>
    <s v="South"/>
    <s v="Office Supplies"/>
    <x v="168"/>
    <n v="19"/>
    <n v="0.1"/>
    <d v="2025-02-15T00:00:00"/>
    <n v="232.19"/>
    <n v="0.05"/>
    <n v="544.654"/>
    <m/>
  </r>
  <r>
    <x v="16"/>
    <s v="James Wilson"/>
    <s v="West"/>
    <s v="Electronics"/>
    <x v="169"/>
    <n v="14"/>
    <n v="0.2"/>
    <d v="2025-02-17T00:00:00"/>
    <n v="223.04"/>
    <n v="0.05"/>
    <n v="1059.4590000000001"/>
    <m/>
  </r>
  <r>
    <x v="1"/>
    <s v="Lisa Thomas"/>
    <s v="North"/>
    <s v="Clothing"/>
    <x v="170"/>
    <n v="4"/>
    <n v="0"/>
    <d v="2025-02-19T00:00:00"/>
    <n v="422.92"/>
    <n v="0.15000000000000002"/>
    <n v="718.96400000000006"/>
    <m/>
  </r>
  <r>
    <x v="7"/>
    <s v="David Brown"/>
    <s v="West"/>
    <s v="Electronics"/>
    <x v="171"/>
    <n v="3"/>
    <n v="0"/>
    <d v="2025-02-20T00:00:00"/>
    <n v="257.45"/>
    <n v="0"/>
    <n v="1029.8"/>
    <m/>
  </r>
  <r>
    <x v="8"/>
    <s v="Mary Davis"/>
    <s v="North"/>
    <s v="Books"/>
    <x v="172"/>
    <n v="2"/>
    <n v="0.2"/>
    <d v="2025-02-21T00:00:00"/>
    <n v="380.75"/>
    <n v="0"/>
    <n v="1189.83"/>
    <m/>
  </r>
  <r>
    <x v="23"/>
    <s v="Sarah Anderson"/>
    <s v="South"/>
    <s v="Books"/>
    <x v="173"/>
    <n v="15"/>
    <n v="0.2"/>
    <d v="2025-02-24T00:00:00"/>
    <n v="225.37"/>
    <n v="0.15000000000000002"/>
    <n v="598.63799999999992"/>
    <m/>
  </r>
  <r>
    <x v="22"/>
    <s v="Mary Jackson"/>
    <s v="Central"/>
    <s v="Office Supplies"/>
    <x v="174"/>
    <n v="12"/>
    <n v="0.2"/>
    <d v="2025-02-24T00:00:00"/>
    <n v="582.55999999999995"/>
    <n v="0.15000000000000002"/>
    <n v="260.85599999999999"/>
    <n v="11470.22"/>
  </r>
  <r>
    <x v="27"/>
    <s v="Linda Taylor"/>
    <s v="Central"/>
    <s v="Books"/>
    <x v="175"/>
    <n v="2"/>
    <n v="0.15"/>
    <d v="2025-02-25T00:00:00"/>
    <n v="344.91"/>
    <n v="0.15000000000000002"/>
    <n v="862.26549999999997"/>
    <m/>
  </r>
  <r>
    <x v="29"/>
    <s v="Mary Davis"/>
    <s v="Central"/>
    <s v="Clothing"/>
    <x v="176"/>
    <n v="18"/>
    <n v="0.2"/>
    <d v="2025-02-27T00:00:00"/>
    <n v="330.79"/>
    <n v="9.9999999999999992E-2"/>
    <n v="744.27300000000002"/>
    <m/>
  </r>
  <r>
    <x v="2"/>
    <s v="Mary Davis"/>
    <s v="Central"/>
    <s v="Clothing"/>
    <x v="177"/>
    <n v="8"/>
    <n v="0.1"/>
    <d v="2025-03-01T00:00:00"/>
    <n v="460"/>
    <n v="0.15000000000000002"/>
    <n v="868.89549999999997"/>
    <m/>
  </r>
  <r>
    <x v="26"/>
    <s v="Linda Wilson"/>
    <s v="East"/>
    <s v="Books"/>
    <x v="178"/>
    <n v="6"/>
    <n v="0"/>
    <d v="2025-03-02T00:00:00"/>
    <n v="439.88"/>
    <n v="0.05"/>
    <n v="1044.7055"/>
    <m/>
  </r>
  <r>
    <x v="16"/>
    <s v="Sarah Davis"/>
    <s v="North"/>
    <s v="Books"/>
    <x v="179"/>
    <n v="8"/>
    <n v="0.1"/>
    <d v="2025-03-05T00:00:00"/>
    <n v="255.79"/>
    <n v="0"/>
    <n v="710.52"/>
    <m/>
  </r>
  <r>
    <x v="16"/>
    <s v="Mary Wilson"/>
    <s v="North"/>
    <s v="Books"/>
    <x v="180"/>
    <n v="15"/>
    <n v="0.2"/>
    <d v="2025-03-08T00:00:00"/>
    <n v="159.74"/>
    <n v="0.05"/>
    <n v="474.221"/>
    <m/>
  </r>
  <r>
    <x v="10"/>
    <s v="Emma Davis"/>
    <s v="South"/>
    <s v="Books"/>
    <x v="181"/>
    <n v="18"/>
    <n v="0.05"/>
    <d v="2025-03-09T00:00:00"/>
    <n v="404.39"/>
    <n v="0.15000000000000002"/>
    <n v="904.56150000000002"/>
    <m/>
  </r>
  <r>
    <x v="23"/>
    <s v="Emma Davis"/>
    <s v="East"/>
    <s v="Office Supplies"/>
    <x v="182"/>
    <n v="18"/>
    <n v="0.05"/>
    <d v="2025-03-10T00:00:00"/>
    <n v="187.57"/>
    <n v="0"/>
    <n v="438.76"/>
    <m/>
  </r>
  <r>
    <x v="12"/>
    <s v="David Brown"/>
    <s v="West"/>
    <s v="Clothing"/>
    <x v="183"/>
    <n v="2"/>
    <n v="0.05"/>
    <d v="2025-03-11T00:00:00"/>
    <n v="410.87"/>
    <n v="0"/>
    <n v="864.98"/>
    <m/>
  </r>
  <r>
    <x v="18"/>
    <s v="David Brown"/>
    <s v="West"/>
    <s v="Furniture"/>
    <x v="184"/>
    <n v="14"/>
    <n v="0.2"/>
    <d v="2025-03-17T00:00:00"/>
    <n v="275.77999999999997"/>
    <n v="0"/>
    <n v="984.93"/>
    <m/>
  </r>
  <r>
    <x v="5"/>
    <s v="David Brown"/>
    <s v="West"/>
    <s v="Clothing"/>
    <x v="185"/>
    <n v="18"/>
    <n v="0"/>
    <d v="2025-03-18T00:00:00"/>
    <n v="746.74"/>
    <n v="0.15000000000000002"/>
    <n v="326.84199999999998"/>
    <n v="7570.3600000000006"/>
  </r>
  <r>
    <x v="8"/>
    <s v="Linda Taylor"/>
    <s v="South"/>
    <s v="Clothing"/>
    <x v="186"/>
    <n v="9"/>
    <n v="0.1"/>
    <d v="2025-03-20T00:00:00"/>
    <n v="310.24"/>
    <n v="0"/>
    <n v="689.43"/>
    <m/>
  </r>
  <r>
    <x v="11"/>
    <s v="Mary Wilson"/>
    <s v="South"/>
    <s v="Clothing"/>
    <x v="187"/>
    <n v="1"/>
    <n v="0"/>
    <d v="2025-03-22T00:00:00"/>
    <n v="341.12"/>
    <n v="0.05"/>
    <n v="648.12799999999993"/>
    <m/>
  </r>
  <r>
    <x v="12"/>
    <s v="Michael Anderson"/>
    <s v="North"/>
    <s v="Electronics"/>
    <x v="188"/>
    <n v="15"/>
    <n v="0.2"/>
    <d v="2025-03-25T00:00:00"/>
    <n v="91.71"/>
    <n v="0"/>
    <n v="458.54"/>
    <m/>
  </r>
  <r>
    <x v="8"/>
    <s v="Michael Anderson"/>
    <s v="South"/>
    <s v="Furniture"/>
    <x v="189"/>
    <n v="11"/>
    <n v="0.2"/>
    <d v="2025-03-26T00:00:00"/>
    <n v="331.59"/>
    <n v="0.15000000000000002"/>
    <n v="1006.6125"/>
    <m/>
  </r>
  <r>
    <x v="5"/>
    <s v="James Davis"/>
    <s v="South"/>
    <s v="Clothing"/>
    <x v="190"/>
    <n v="9"/>
    <n v="0"/>
    <d v="2025-03-27T00:00:00"/>
    <n v="381.07"/>
    <n v="0.15000000000000002"/>
    <n v="647.81899999999996"/>
    <m/>
  </r>
  <r>
    <x v="4"/>
    <s v="Linda Taylor"/>
    <s v="North"/>
    <s v="Books"/>
    <x v="191"/>
    <n v="10"/>
    <n v="0.15"/>
    <d v="2025-03-27T00:00:00"/>
    <n v="255.24"/>
    <n v="0"/>
    <n v="750.71"/>
    <m/>
  </r>
  <r>
    <x v="29"/>
    <s v="David Anderson"/>
    <s v="Central"/>
    <s v="Clothing"/>
    <x v="192"/>
    <n v="14"/>
    <n v="0.05"/>
    <d v="2025-03-29T00:00:00"/>
    <n v="692.05"/>
    <n v="9.9999999999999992E-2"/>
    <n v="379.18299999999999"/>
    <n v="5129.4799999999996"/>
  </r>
  <r>
    <x v="13"/>
    <s v="Emma Wilson"/>
    <s v="East"/>
    <s v="Furniture"/>
    <x v="193"/>
    <n v="17"/>
    <n v="0.1"/>
    <d v="2025-03-29T00:00:00"/>
    <n v="344.41"/>
    <n v="0"/>
    <n v="1093.3800000000001"/>
    <m/>
  </r>
  <r>
    <x v="10"/>
    <s v="Sarah Anderson"/>
    <s v="West"/>
    <s v="Clothing"/>
    <x v="194"/>
    <n v="8"/>
    <n v="0.15"/>
    <d v="2025-03-30T00:00:00"/>
    <n v="397.06"/>
    <n v="0.05"/>
    <n v="887.55649999999991"/>
    <m/>
  </r>
  <r>
    <x v="25"/>
    <s v="David Thomas"/>
    <s v="Central"/>
    <s v="Clothing"/>
    <x v="195"/>
    <n v="8"/>
    <n v="0.2"/>
    <d v="2025-03-30T00:00:00"/>
    <n v="586.14"/>
    <n v="9.9999999999999992E-2"/>
    <n v="390.80249999999995"/>
    <n v="4386.41"/>
  </r>
  <r>
    <x v="16"/>
    <s v="Robert Anderson"/>
    <s v="South"/>
    <s v="Office Supplies"/>
    <x v="196"/>
    <n v="3"/>
    <n v="0"/>
    <d v="2025-04-02T00:00:00"/>
    <n v="333.36"/>
    <n v="0.15000000000000002"/>
    <n v="629.67999999999995"/>
    <m/>
  </r>
  <r>
    <x v="19"/>
    <s v="Sarah Anderson"/>
    <s v="West"/>
    <s v="Office Supplies"/>
    <x v="197"/>
    <n v="17"/>
    <n v="0"/>
    <d v="2025-04-05T00:00:00"/>
    <n v="245.45"/>
    <n v="0"/>
    <n v="545.44000000000005"/>
    <m/>
  </r>
  <r>
    <x v="9"/>
    <s v="David Thomas"/>
    <s v="East"/>
    <s v="Books"/>
    <x v="198"/>
    <n v="8"/>
    <n v="0.05"/>
    <d v="2025-04-05T00:00:00"/>
    <n v="379.09"/>
    <n v="0"/>
    <n v="997.61"/>
    <m/>
  </r>
  <r>
    <x v="20"/>
    <s v="David Thomas"/>
    <s v="South"/>
    <s v="Clothing"/>
    <x v="199"/>
    <n v="2"/>
    <n v="0.05"/>
    <d v="2025-04-07T00:00:00"/>
    <n v="440.95"/>
    <n v="0"/>
    <n v="928.32"/>
    <m/>
  </r>
  <r>
    <x v="30"/>
    <m/>
    <m/>
    <m/>
    <x v="200"/>
    <m/>
    <m/>
    <m/>
    <m/>
    <n v="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189E16-A3DD-422D-8214-0B9873E57DDD}"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rowPageCount="1" colPageCount="1"/>
  <pivotFields count="12">
    <pivotField axis="axisRow" showAll="0" sortType="descending">
      <items count="32">
        <item x="6"/>
        <item x="22"/>
        <item x="23"/>
        <item x="26"/>
        <item x="3"/>
        <item x="14"/>
        <item x="5"/>
        <item x="13"/>
        <item x="8"/>
        <item x="9"/>
        <item h="1" x="21"/>
        <item h="1" x="1"/>
        <item h="1" x="27"/>
        <item h="1" x="10"/>
        <item h="1" x="19"/>
        <item h="1" x="20"/>
        <item h="1" x="2"/>
        <item h="1" x="29"/>
        <item h="1" x="0"/>
        <item h="1" x="24"/>
        <item h="1" x="18"/>
        <item h="1" x="15"/>
        <item h="1" x="11"/>
        <item h="1" x="25"/>
        <item h="1" x="17"/>
        <item h="1" x="7"/>
        <item h="1" x="28"/>
        <item h="1" x="16"/>
        <item h="1" x="12"/>
        <item h="1" x="4"/>
        <item h="1" x="3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Page" dataField="1" showAll="0">
      <items count="202">
        <item x="129"/>
        <item x="148"/>
        <item x="145"/>
        <item x="156"/>
        <item x="143"/>
        <item x="21"/>
        <item x="182"/>
        <item x="188"/>
        <item x="35"/>
        <item x="61"/>
        <item x="180"/>
        <item x="8"/>
        <item x="137"/>
        <item x="77"/>
        <item x="14"/>
        <item x="72"/>
        <item x="197"/>
        <item x="42"/>
        <item x="168"/>
        <item x="39"/>
        <item x="162"/>
        <item x="100"/>
        <item x="70"/>
        <item x="17"/>
        <item x="161"/>
        <item x="19"/>
        <item x="114"/>
        <item x="147"/>
        <item x="26"/>
        <item x="80"/>
        <item x="187"/>
        <item x="115"/>
        <item x="186"/>
        <item x="111"/>
        <item x="173"/>
        <item x="23"/>
        <item x="125"/>
        <item x="179"/>
        <item x="2"/>
        <item x="123"/>
        <item x="91"/>
        <item x="108"/>
        <item x="9"/>
        <item x="196"/>
        <item x="57"/>
        <item x="166"/>
        <item x="22"/>
        <item x="150"/>
        <item x="191"/>
        <item x="3"/>
        <item x="190"/>
        <item x="113"/>
        <item x="38"/>
        <item x="49"/>
        <item x="82"/>
        <item x="29"/>
        <item x="73"/>
        <item x="69"/>
        <item x="138"/>
        <item x="54"/>
        <item x="136"/>
        <item x="13"/>
        <item x="98"/>
        <item x="176"/>
        <item x="165"/>
        <item x="135"/>
        <item x="43"/>
        <item x="36"/>
        <item x="170"/>
        <item x="4"/>
        <item x="32"/>
        <item x="132"/>
        <item x="45"/>
        <item x="152"/>
        <item x="183"/>
        <item x="151"/>
        <item x="86"/>
        <item x="92"/>
        <item x="66"/>
        <item x="16"/>
        <item x="149"/>
        <item x="134"/>
        <item x="99"/>
        <item x="95"/>
        <item x="55"/>
        <item x="128"/>
        <item x="103"/>
        <item x="24"/>
        <item x="199"/>
        <item x="62"/>
        <item x="194"/>
        <item x="27"/>
        <item x="53"/>
        <item x="20"/>
        <item x="119"/>
        <item x="105"/>
        <item x="5"/>
        <item x="94"/>
        <item x="33"/>
        <item x="56"/>
        <item x="110"/>
        <item x="71"/>
        <item x="28"/>
        <item x="184"/>
        <item x="101"/>
        <item x="198"/>
        <item x="47"/>
        <item x="63"/>
        <item x="118"/>
        <item x="102"/>
        <item x="117"/>
        <item x="175"/>
        <item x="122"/>
        <item x="68"/>
        <item x="50"/>
        <item x="177"/>
        <item x="31"/>
        <item x="41"/>
        <item x="171"/>
        <item x="65"/>
        <item x="0"/>
        <item x="154"/>
        <item x="133"/>
        <item x="181"/>
        <item x="83"/>
        <item x="7"/>
        <item x="157"/>
        <item x="120"/>
        <item x="106"/>
        <item x="52"/>
        <item x="193"/>
        <item x="164"/>
        <item x="178"/>
        <item x="64"/>
        <item x="1"/>
        <item x="90"/>
        <item x="163"/>
        <item x="78"/>
        <item x="169"/>
        <item x="159"/>
        <item x="81"/>
        <item x="131"/>
        <item x="40"/>
        <item x="88"/>
        <item x="93"/>
        <item x="142"/>
        <item x="121"/>
        <item x="84"/>
        <item x="153"/>
        <item x="96"/>
        <item x="25"/>
        <item x="189"/>
        <item x="48"/>
        <item x="172"/>
        <item x="12"/>
        <item x="112"/>
        <item x="34"/>
        <item x="97"/>
        <item x="130"/>
        <item x="75"/>
        <item x="46"/>
        <item x="51"/>
        <item x="44"/>
        <item x="141"/>
        <item x="58"/>
        <item x="116"/>
        <item x="158"/>
        <item x="76"/>
        <item x="89"/>
        <item x="124"/>
        <item x="104"/>
        <item x="79"/>
        <item x="109"/>
        <item x="167"/>
        <item x="6"/>
        <item x="85"/>
        <item x="11"/>
        <item x="127"/>
        <item x="146"/>
        <item x="59"/>
        <item x="67"/>
        <item x="60"/>
        <item x="37"/>
        <item x="126"/>
        <item x="139"/>
        <item x="87"/>
        <item x="30"/>
        <item x="192"/>
        <item x="195"/>
        <item x="140"/>
        <item x="185"/>
        <item x="15"/>
        <item x="18"/>
        <item x="74"/>
        <item x="10"/>
        <item x="144"/>
        <item x="174"/>
        <item x="160"/>
        <item x="155"/>
        <item x="107"/>
        <item x="200"/>
        <item t="default"/>
      </items>
    </pivotField>
    <pivotField showAll="0"/>
    <pivotField showAll="0"/>
    <pivotField showAll="0"/>
    <pivotField showAll="0"/>
    <pivotField showAll="0"/>
    <pivotField showAll="0"/>
    <pivotField showAll="0"/>
  </pivotFields>
  <rowFields count="1">
    <field x="0"/>
  </rowFields>
  <rowItems count="11">
    <i>
      <x v="6"/>
    </i>
    <i>
      <x v="7"/>
    </i>
    <i>
      <x v="2"/>
    </i>
    <i>
      <x v="3"/>
    </i>
    <i>
      <x v="4"/>
    </i>
    <i>
      <x/>
    </i>
    <i>
      <x v="8"/>
    </i>
    <i>
      <x v="1"/>
    </i>
    <i>
      <x v="9"/>
    </i>
    <i>
      <x v="5"/>
    </i>
    <i t="grand">
      <x/>
    </i>
  </rowItems>
  <colItems count="1">
    <i/>
  </colItems>
  <pageFields count="1">
    <pageField fld="4" hier="-1"/>
  </pageFields>
  <dataFields count="1">
    <dataField name="Sum of Sales" fld="4" baseField="0" baseItem="0"/>
  </dataFields>
  <formats count="2">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9F4E04-7E97-4A00-A284-C1DF1AF54D6F}"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22" firstHeaderRow="1" firstDataRow="1" firstDataCol="1"/>
  <pivotFields count="13">
    <pivotField axis="axisRow" showAll="0">
      <items count="32">
        <item h="1" x="6"/>
        <item h="1" x="22"/>
        <item h="1" x="23"/>
        <item h="1" x="26"/>
        <item x="3"/>
        <item x="14"/>
        <item x="5"/>
        <item h="1" x="13"/>
        <item h="1" x="8"/>
        <item h="1" x="9"/>
        <item h="1" x="21"/>
        <item h="1" x="1"/>
        <item h="1" x="27"/>
        <item h="1" x="10"/>
        <item h="1" x="19"/>
        <item h="1" x="20"/>
        <item h="1" x="2"/>
        <item h="1" x="29"/>
        <item h="1" x="0"/>
        <item h="1" x="24"/>
        <item h="1" x="18"/>
        <item h="1" x="15"/>
        <item h="1" x="11"/>
        <item h="1" x="25"/>
        <item h="1" x="17"/>
        <item h="1" x="7"/>
        <item h="1" x="28"/>
        <item h="1" x="16"/>
        <item h="1" x="12"/>
        <item h="1" x="4"/>
        <item h="1" x="30"/>
        <item t="default"/>
      </items>
    </pivotField>
    <pivotField axis="axisRow" showAll="0">
      <items count="29">
        <item x="26"/>
        <item x="18"/>
        <item x="19"/>
        <item x="10"/>
        <item x="8"/>
        <item x="9"/>
        <item x="24"/>
        <item x="21"/>
        <item x="0"/>
        <item x="2"/>
        <item x="3"/>
        <item x="16"/>
        <item x="15"/>
        <item x="22"/>
        <item x="7"/>
        <item x="25"/>
        <item x="17"/>
        <item x="5"/>
        <item x="14"/>
        <item x="12"/>
        <item x="6"/>
        <item x="13"/>
        <item x="20"/>
        <item x="4"/>
        <item x="1"/>
        <item x="11"/>
        <item x="23"/>
        <item x="27"/>
        <item t="default"/>
      </items>
    </pivotField>
    <pivotField showAll="0"/>
    <pivotField showAll="0"/>
    <pivotField dataField="1" showAll="0">
      <items count="202">
        <item x="129"/>
        <item x="148"/>
        <item x="145"/>
        <item x="156"/>
        <item x="143"/>
        <item x="21"/>
        <item x="182"/>
        <item x="188"/>
        <item x="35"/>
        <item x="61"/>
        <item x="180"/>
        <item x="8"/>
        <item x="137"/>
        <item x="77"/>
        <item x="14"/>
        <item x="72"/>
        <item x="197"/>
        <item x="42"/>
        <item x="168"/>
        <item x="39"/>
        <item x="162"/>
        <item x="100"/>
        <item x="70"/>
        <item x="17"/>
        <item x="161"/>
        <item x="19"/>
        <item x="114"/>
        <item x="147"/>
        <item x="26"/>
        <item x="80"/>
        <item x="187"/>
        <item x="115"/>
        <item x="186"/>
        <item x="111"/>
        <item x="173"/>
        <item x="23"/>
        <item x="125"/>
        <item x="179"/>
        <item x="2"/>
        <item x="123"/>
        <item x="91"/>
        <item x="108"/>
        <item x="9"/>
        <item x="196"/>
        <item x="57"/>
        <item x="166"/>
        <item x="22"/>
        <item x="150"/>
        <item x="191"/>
        <item x="3"/>
        <item x="190"/>
        <item x="113"/>
        <item x="38"/>
        <item x="49"/>
        <item x="82"/>
        <item x="29"/>
        <item x="73"/>
        <item x="69"/>
        <item x="138"/>
        <item x="54"/>
        <item x="136"/>
        <item x="13"/>
        <item x="98"/>
        <item x="176"/>
        <item x="165"/>
        <item x="135"/>
        <item x="43"/>
        <item x="36"/>
        <item x="170"/>
        <item x="4"/>
        <item x="32"/>
        <item x="132"/>
        <item x="45"/>
        <item x="152"/>
        <item x="183"/>
        <item x="151"/>
        <item x="86"/>
        <item x="92"/>
        <item x="66"/>
        <item x="16"/>
        <item x="149"/>
        <item x="134"/>
        <item x="99"/>
        <item x="95"/>
        <item x="55"/>
        <item x="128"/>
        <item x="103"/>
        <item x="24"/>
        <item x="199"/>
        <item x="62"/>
        <item x="194"/>
        <item x="27"/>
        <item x="53"/>
        <item x="20"/>
        <item x="119"/>
        <item x="105"/>
        <item x="5"/>
        <item x="94"/>
        <item x="33"/>
        <item x="56"/>
        <item x="110"/>
        <item x="71"/>
        <item x="28"/>
        <item x="184"/>
        <item x="101"/>
        <item x="198"/>
        <item x="47"/>
        <item x="63"/>
        <item x="118"/>
        <item x="102"/>
        <item x="117"/>
        <item x="175"/>
        <item x="122"/>
        <item x="68"/>
        <item x="50"/>
        <item x="177"/>
        <item x="31"/>
        <item x="41"/>
        <item x="171"/>
        <item x="65"/>
        <item x="0"/>
        <item x="154"/>
        <item x="133"/>
        <item x="181"/>
        <item x="83"/>
        <item x="7"/>
        <item x="157"/>
        <item x="120"/>
        <item x="106"/>
        <item x="52"/>
        <item x="193"/>
        <item x="164"/>
        <item x="178"/>
        <item x="64"/>
        <item x="1"/>
        <item x="90"/>
        <item x="163"/>
        <item x="78"/>
        <item x="169"/>
        <item x="159"/>
        <item x="81"/>
        <item x="131"/>
        <item x="40"/>
        <item x="88"/>
        <item x="93"/>
        <item x="142"/>
        <item x="121"/>
        <item x="84"/>
        <item x="153"/>
        <item x="96"/>
        <item x="25"/>
        <item x="189"/>
        <item x="48"/>
        <item x="172"/>
        <item x="12"/>
        <item x="112"/>
        <item x="34"/>
        <item x="97"/>
        <item x="130"/>
        <item x="75"/>
        <item x="46"/>
        <item x="51"/>
        <item x="44"/>
        <item x="141"/>
        <item x="58"/>
        <item x="116"/>
        <item x="158"/>
        <item x="76"/>
        <item x="89"/>
        <item x="124"/>
        <item x="104"/>
        <item x="79"/>
        <item x="109"/>
        <item x="167"/>
        <item x="6"/>
        <item x="85"/>
        <item x="11"/>
        <item x="127"/>
        <item x="146"/>
        <item x="59"/>
        <item x="67"/>
        <item x="60"/>
        <item x="37"/>
        <item x="126"/>
        <item x="139"/>
        <item x="87"/>
        <item x="30"/>
        <item x="192"/>
        <item x="195"/>
        <item x="140"/>
        <item x="185"/>
        <item x="15"/>
        <item x="18"/>
        <item x="74"/>
        <item x="10"/>
        <item x="144"/>
        <item x="174"/>
        <item x="160"/>
        <item x="155"/>
        <item x="107"/>
        <item x="200"/>
        <item t="default"/>
      </items>
    </pivotField>
    <pivotField showAll="0"/>
    <pivotField showAll="0"/>
    <pivotField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2">
    <field x="0"/>
    <field x="1"/>
  </rowFields>
  <rowItems count="19">
    <i>
      <x v="4"/>
    </i>
    <i r="1">
      <x v="3"/>
    </i>
    <i r="1">
      <x v="16"/>
    </i>
    <i r="1">
      <x v="18"/>
    </i>
    <i r="1">
      <x v="24"/>
    </i>
    <i r="1">
      <x v="25"/>
    </i>
    <i>
      <x v="5"/>
    </i>
    <i r="1">
      <x/>
    </i>
    <i r="1">
      <x v="21"/>
    </i>
    <i>
      <x v="6"/>
    </i>
    <i r="1">
      <x v="1"/>
    </i>
    <i r="1">
      <x v="5"/>
    </i>
    <i r="1">
      <x v="6"/>
    </i>
    <i r="1">
      <x v="8"/>
    </i>
    <i r="1">
      <x v="14"/>
    </i>
    <i r="1">
      <x v="18"/>
    </i>
    <i r="1">
      <x v="23"/>
    </i>
    <i r="1">
      <x v="24"/>
    </i>
    <i t="grand">
      <x/>
    </i>
  </rowItems>
  <colItems count="1">
    <i/>
  </colItems>
  <dataFields count="1">
    <dataField name="Sum of Sales" fld="4"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2C32BD-B6C5-4077-86A5-7BB32C62DB5C}"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20" firstHeaderRow="1" firstDataRow="1" firstDataCol="1"/>
  <pivotFields count="13">
    <pivotField showAll="0"/>
    <pivotField showAll="0"/>
    <pivotField showAll="0"/>
    <pivotField showAll="0"/>
    <pivotField dataField="1" showAll="0"/>
    <pivotField showAll="0"/>
    <pivotField showAll="0"/>
    <pivotField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sd="0" x="0"/>
        <item x="1"/>
        <item x="2"/>
        <item x="3"/>
        <item t="default"/>
      </items>
    </pivotField>
  </pivotFields>
  <rowFields count="2">
    <field x="12"/>
    <field x="11"/>
  </rowFields>
  <rowItems count="17">
    <i>
      <x/>
    </i>
    <i>
      <x v="1"/>
    </i>
    <i r="1">
      <x v="4"/>
    </i>
    <i r="1">
      <x v="5"/>
    </i>
    <i r="1">
      <x v="6"/>
    </i>
    <i r="1">
      <x v="7"/>
    </i>
    <i r="1">
      <x v="8"/>
    </i>
    <i r="1">
      <x v="9"/>
    </i>
    <i r="1">
      <x v="10"/>
    </i>
    <i r="1">
      <x v="11"/>
    </i>
    <i r="1">
      <x v="12"/>
    </i>
    <i>
      <x v="2"/>
    </i>
    <i r="1">
      <x v="1"/>
    </i>
    <i r="1">
      <x v="2"/>
    </i>
    <i r="1">
      <x v="3"/>
    </i>
    <i r="1">
      <x v="4"/>
    </i>
    <i t="grand">
      <x/>
    </i>
  </rowItems>
  <colItems count="1">
    <i/>
  </colItems>
  <dataFields count="1">
    <dataField name="Sum of Sales" fld="4" baseField="0" baseItem="0"/>
  </dataFields>
  <chartFormats count="2">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D2BEE9-EB73-4C70-B23E-B311567EDD43}"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G10" firstHeaderRow="1" firstDataRow="2" firstDataCol="1"/>
  <pivotFields count="13">
    <pivotField showAll="0"/>
    <pivotField showAll="0"/>
    <pivotField axis="axisRow" showAll="0">
      <items count="7">
        <item x="4"/>
        <item x="1"/>
        <item x="3"/>
        <item x="2"/>
        <item x="0"/>
        <item h="1" x="5"/>
        <item t="default"/>
      </items>
    </pivotField>
    <pivotField axis="axisCol" showAll="0">
      <items count="7">
        <item x="0"/>
        <item x="1"/>
        <item x="2"/>
        <item x="3"/>
        <item x="4"/>
        <item h="1" x="5"/>
        <item t="default"/>
      </items>
    </pivotField>
    <pivotField dataField="1" showAll="0"/>
    <pivotField showAll="0"/>
    <pivotField showAll="0"/>
    <pivotField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numFmtId="2"/>
  </dataFields>
  <chartFormats count="12">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4" format="2" series="1">
      <pivotArea type="data" outline="0" fieldPosition="0">
        <references count="2">
          <reference field="4294967294" count="1" selected="0">
            <x v="0"/>
          </reference>
          <reference field="3" count="1" selected="0">
            <x v="2"/>
          </reference>
        </references>
      </pivotArea>
    </chartFormat>
    <chartFormat chart="4" format="3" series="1">
      <pivotArea type="data" outline="0" fieldPosition="0">
        <references count="2">
          <reference field="4294967294" count="1" selected="0">
            <x v="0"/>
          </reference>
          <reference field="3" count="1" selected="0">
            <x v="3"/>
          </reference>
        </references>
      </pivotArea>
    </chartFormat>
    <chartFormat chart="4" format="4" series="1">
      <pivotArea type="data" outline="0" fieldPosition="0">
        <references count="2">
          <reference field="4294967294" count="1" selected="0">
            <x v="0"/>
          </reference>
          <reference field="3" count="1" selected="0">
            <x v="4"/>
          </reference>
        </references>
      </pivotArea>
    </chartFormat>
    <chartFormat chart="4" format="5" series="1">
      <pivotArea type="data" outline="0" fieldPosition="0">
        <references count="2">
          <reference field="4294967294" count="1" selected="0">
            <x v="0"/>
          </reference>
          <reference field="3" count="1" selected="0">
            <x v="5"/>
          </reference>
        </references>
      </pivotArea>
    </chartFormat>
    <chartFormat chart="7" format="12" series="1">
      <pivotArea type="data" outline="0" fieldPosition="0">
        <references count="2">
          <reference field="4294967294" count="1" selected="0">
            <x v="0"/>
          </reference>
          <reference field="3" count="1" selected="0">
            <x v="0"/>
          </reference>
        </references>
      </pivotArea>
    </chartFormat>
    <chartFormat chart="7" format="13" series="1">
      <pivotArea type="data" outline="0" fieldPosition="0">
        <references count="2">
          <reference field="4294967294" count="1" selected="0">
            <x v="0"/>
          </reference>
          <reference field="3" count="1" selected="0">
            <x v="1"/>
          </reference>
        </references>
      </pivotArea>
    </chartFormat>
    <chartFormat chart="7" format="14" series="1">
      <pivotArea type="data" outline="0" fieldPosition="0">
        <references count="2">
          <reference field="4294967294" count="1" selected="0">
            <x v="0"/>
          </reference>
          <reference field="3" count="1" selected="0">
            <x v="2"/>
          </reference>
        </references>
      </pivotArea>
    </chartFormat>
    <chartFormat chart="7" format="15" series="1">
      <pivotArea type="data" outline="0" fieldPosition="0">
        <references count="2">
          <reference field="4294967294" count="1" selected="0">
            <x v="0"/>
          </reference>
          <reference field="3" count="1" selected="0">
            <x v="3"/>
          </reference>
        </references>
      </pivotArea>
    </chartFormat>
    <chartFormat chart="7" format="16" series="1">
      <pivotArea type="data" outline="0" fieldPosition="0">
        <references count="2">
          <reference field="4294967294" count="1" selected="0">
            <x v="0"/>
          </reference>
          <reference field="3" count="1" selected="0">
            <x v="4"/>
          </reference>
        </references>
      </pivotArea>
    </chartFormat>
    <chartFormat chart="7" format="17"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6604D3-CFCB-44DB-B3B5-8621D5D30A80}"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13">
    <pivotField showAll="0"/>
    <pivotField showAll="0"/>
    <pivotField showAll="0"/>
    <pivotField axis="axisRow" showAll="0">
      <items count="7">
        <item x="0"/>
        <item x="1"/>
        <item x="2"/>
        <item x="3"/>
        <item x="4"/>
        <item x="5"/>
        <item t="default"/>
      </items>
    </pivotField>
    <pivotField dataField="1" showAll="0"/>
    <pivotField showAll="0"/>
    <pivotField showAll="0"/>
    <pivotField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7">
    <i>
      <x/>
    </i>
    <i>
      <x v="1"/>
    </i>
    <i>
      <x v="2"/>
    </i>
    <i>
      <x v="3"/>
    </i>
    <i>
      <x v="4"/>
    </i>
    <i>
      <x v="5"/>
    </i>
    <i t="grand">
      <x/>
    </i>
  </rowItems>
  <colItems count="1">
    <i/>
  </colItems>
  <dataFields count="1">
    <dataField name="Sum of Sales" fld="4" baseField="0" baseItem="0"/>
  </dataFields>
  <chartFormats count="14">
    <chartFormat chart="1"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3" count="1" selected="0">
            <x v="0"/>
          </reference>
        </references>
      </pivotArea>
    </chartFormat>
    <chartFormat chart="6" format="10">
      <pivotArea type="data" outline="0" fieldPosition="0">
        <references count="2">
          <reference field="4294967294" count="1" selected="0">
            <x v="0"/>
          </reference>
          <reference field="3" count="1" selected="0">
            <x v="1"/>
          </reference>
        </references>
      </pivotArea>
    </chartFormat>
    <chartFormat chart="6" format="11">
      <pivotArea type="data" outline="0" fieldPosition="0">
        <references count="2">
          <reference field="4294967294" count="1" selected="0">
            <x v="0"/>
          </reference>
          <reference field="3" count="1" selected="0">
            <x v="2"/>
          </reference>
        </references>
      </pivotArea>
    </chartFormat>
    <chartFormat chart="6" format="12">
      <pivotArea type="data" outline="0" fieldPosition="0">
        <references count="2">
          <reference field="4294967294" count="1" selected="0">
            <x v="0"/>
          </reference>
          <reference field="3" count="1" selected="0">
            <x v="3"/>
          </reference>
        </references>
      </pivotArea>
    </chartFormat>
    <chartFormat chart="6" format="13">
      <pivotArea type="data" outline="0" fieldPosition="0">
        <references count="2">
          <reference field="4294967294" count="1" selected="0">
            <x v="0"/>
          </reference>
          <reference field="3" count="1" selected="0">
            <x v="4"/>
          </reference>
        </references>
      </pivotArea>
    </chartFormat>
    <chartFormat chart="6" format="14">
      <pivotArea type="data" outline="0" fieldPosition="0">
        <references count="2">
          <reference field="4294967294" count="1" selected="0">
            <x v="0"/>
          </reference>
          <reference field="3" count="1" selected="0">
            <x v="5"/>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 format="4">
      <pivotArea type="data" outline="0" fieldPosition="0">
        <references count="2">
          <reference field="4294967294" count="1" selected="0">
            <x v="0"/>
          </reference>
          <reference field="3" count="1" selected="0">
            <x v="3"/>
          </reference>
        </references>
      </pivotArea>
    </chartFormat>
    <chartFormat chart="1" format="5">
      <pivotArea type="data" outline="0" fieldPosition="0">
        <references count="2">
          <reference field="4294967294" count="1" selected="0">
            <x v="0"/>
          </reference>
          <reference field="3" count="1" selected="0">
            <x v="4"/>
          </reference>
        </references>
      </pivotArea>
    </chartFormat>
    <chartFormat chart="1" format="6">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A224A0FA-9C43-4528-9C86-C5F7FF59B5FA}" sourceName="Customer_ID">
  <pivotTables>
    <pivotTable tabId="8" name="PivotTable2"/>
  </pivotTables>
  <data>
    <tabular pivotCacheId="467859524">
      <items count="31">
        <i x="6"/>
        <i x="22"/>
        <i x="23"/>
        <i x="26"/>
        <i x="3" s="1"/>
        <i x="14" s="1"/>
        <i x="5" s="1"/>
        <i x="13"/>
        <i x="8"/>
        <i x="9"/>
        <i x="21"/>
        <i x="1"/>
        <i x="27"/>
        <i x="10"/>
        <i x="19"/>
        <i x="20"/>
        <i x="2"/>
        <i x="29"/>
        <i x="0"/>
        <i x="24"/>
        <i x="18"/>
        <i x="15"/>
        <i x="11"/>
        <i x="25"/>
        <i x="17"/>
        <i x="7"/>
        <i x="28"/>
        <i x="16"/>
        <i x="12"/>
        <i x="4"/>
        <i x="3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8E84EFD-4D26-4270-8510-CB609952025B}" sourceName="Region">
  <pivotTables>
    <pivotTable tabId="9" name="PivotTable3"/>
  </pivotTables>
  <data>
    <tabular pivotCacheId="467859524">
      <items count="6">
        <i x="4" s="1"/>
        <i x="1" s="1"/>
        <i x="3" s="1"/>
        <i x="2" s="1"/>
        <i x="0" s="1"/>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140EEBFB-97B1-4EE3-8F03-C652120B18C6}" sourceName="Years (Order_Date)">
  <pivotTables>
    <pivotTable tabId="7" name="PivotTable1"/>
  </pivotTables>
  <data>
    <tabular pivotCacheId="467859524">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ID" xr10:uid="{1BF7D1E6-904B-4B5B-A7D8-8AFF0498BC7C}" cache="Slicer_Customer_ID" caption="Customer_ID"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ID 1" xr10:uid="{D84CE207-8AA8-4450-9F16-568977DC3089}" cache="Slicer_Customer_ID" caption="Customer_ID" rowHeight="257175"/>
  <slicer name="Region" xr10:uid="{923D7062-63D8-4ECC-ADFE-1BB06CFEB14C}" cache="Slicer_Region" caption="Region" rowHeight="257175"/>
  <slicer name="Years (Order_Date)" xr10:uid="{6D2B9BB3-C01C-4766-B2B8-159860A9E382}" cache="Slicer_Years__Order_Date" caption="Years (Order_Dat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949901-5DF0-43C9-BE63-7A9CCA2838D4}" name="Table2" displayName="Table2" ref="A1:L202" totalsRowShown="0" headerRowDxfId="12">
  <autoFilter ref="A1:L202" xr:uid="{5E949901-5DF0-43C9-BE63-7A9CCA2838D4}">
    <filterColumn colId="4">
      <customFilters>
        <customFilter operator="greaterThan" val="1200"/>
      </customFilters>
    </filterColumn>
  </autoFilter>
  <tableColumns count="12">
    <tableColumn id="1" xr3:uid="{3E2588DE-A4FC-4018-B3C4-400F54867391}" name="Customer_ID" dataDxfId="11"/>
    <tableColumn id="2" xr3:uid="{FB765688-D124-41B0-870D-B22270DB0413}" name="Customer_Name" dataDxfId="10"/>
    <tableColumn id="3" xr3:uid="{E79FF84F-1A65-4421-B136-A81C6C19498E}" name="Region" dataDxfId="9"/>
    <tableColumn id="4" xr3:uid="{11E4A5FA-90FC-4568-AEB4-B48725402EB6}" name="Product_Category" dataDxfId="8"/>
    <tableColumn id="5" xr3:uid="{54929C72-3A12-444C-8422-701639CEADE2}" name="Sales" dataDxfId="7"/>
    <tableColumn id="6" xr3:uid="{291FF092-B879-402F-8409-B841A36994D0}" name="Quantity" dataDxfId="6"/>
    <tableColumn id="7" xr3:uid="{EA9A8775-4415-4995-ACC8-001829E01D98}" name="Discount" dataDxfId="5"/>
    <tableColumn id="8" xr3:uid="{4078C5F4-356E-4A83-A07A-484D963E5BCD}" name="Order_Date" dataDxfId="4"/>
    <tableColumn id="9" xr3:uid="{04E94241-8BD2-4228-8109-76CAD25B344C}" name="Profit" dataDxfId="3"/>
    <tableColumn id="10" xr3:uid="{9763E428-CB50-4ACD-ACB4-DDE2435D1DFE}" name="New discount">
      <calculatedColumnFormula>MAX(0,G1-5%)</calculatedColumnFormula>
    </tableColumn>
    <tableColumn id="11" xr3:uid="{2E30A438-D216-4CF2-BC73-47101476C39F}" name="estimated_profit"/>
    <tableColumn id="12" xr3:uid="{98124DF2-D033-4FB0-A5B2-A151FAB49DCE}" name="TOTA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1EEDB4-49DC-4294-8A6F-2EA002AAE839}" name="Table1" displayName="Table1" ref="A3:L204" totalsRowShown="0">
  <autoFilter ref="A3:L204" xr:uid="{501EEDB4-49DC-4294-8A6F-2EA002AAE839}"/>
  <tableColumns count="12">
    <tableColumn id="1" xr3:uid="{DF88F85F-5F9C-43A4-9C4D-CE8F150CF136}" name="Customer_ID"/>
    <tableColumn id="2" xr3:uid="{50ECBD93-CE24-4625-AE81-A9CCD3016509}" name="Customer_Name"/>
    <tableColumn id="3" xr3:uid="{9DDC2343-A052-4C9E-8826-2868A3AF87A9}" name="Region"/>
    <tableColumn id="4" xr3:uid="{16FB454C-1D0B-4BB5-B97C-388297E9F267}" name="Product_Category"/>
    <tableColumn id="5" xr3:uid="{DC422E8C-41FD-488A-8E54-38AA7EF34AF8}" name="Sales"/>
    <tableColumn id="6" xr3:uid="{6800AD2C-7B4F-4141-A495-E88AB4CCA198}" name="Quantity"/>
    <tableColumn id="7" xr3:uid="{ABF403DA-6B1C-4717-BC28-BF684D75ED04}" name="Discount"/>
    <tableColumn id="8" xr3:uid="{6A27AB62-5579-4699-A39D-FD8ADB18BF3D}" name="Order_Date" dataDxfId="2"/>
    <tableColumn id="9" xr3:uid="{9E18E51D-2D75-4A0B-AB64-97F03F193F31}" name="Profit"/>
    <tableColumn id="10" xr3:uid="{C80F2590-3A5E-4FB6-B62C-37CAEF5DA8BC}" name="New discount"/>
    <tableColumn id="11" xr3:uid="{64EBA74A-8B8A-4043-94FF-4D6B16B9A41B}" name="estimated_profit"/>
    <tableColumn id="12" xr3:uid="{D4CE5E73-149D-433D-8670-E2E3A6D69EFF}" name="TOTA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BDDC3-7ED2-4654-90FA-90FD4BE174F1}">
  <dimension ref="A1:Q202"/>
  <sheetViews>
    <sheetView tabSelected="1" topLeftCell="E1" zoomScale="103" zoomScaleNormal="80" workbookViewId="0">
      <selection activeCell="O8" sqref="O8"/>
    </sheetView>
  </sheetViews>
  <sheetFormatPr defaultRowHeight="15" x14ac:dyDescent="0.25"/>
  <cols>
    <col min="1" max="1" width="14.7109375" customWidth="1"/>
    <col min="2" max="2" width="18" customWidth="1"/>
    <col min="3" max="3" width="9.28515625" customWidth="1"/>
    <col min="4" max="4" width="18.7109375" customWidth="1"/>
    <col min="6" max="7" width="10.85546875" customWidth="1"/>
    <col min="8" max="8" width="13.5703125" customWidth="1"/>
    <col min="10" max="10" width="15.140625" customWidth="1"/>
    <col min="11" max="11" width="18" customWidth="1"/>
    <col min="12" max="12" width="16.5703125" bestFit="1" customWidth="1"/>
    <col min="13" max="13" width="18.28515625" customWidth="1"/>
    <col min="14" max="15" width="11.42578125" customWidth="1"/>
    <col min="16" max="16" width="14.85546875" customWidth="1"/>
  </cols>
  <sheetData>
    <row r="1" spans="1:17" ht="15.75" thickBot="1" x14ac:dyDescent="0.3">
      <c r="A1" s="1" t="s">
        <v>0</v>
      </c>
      <c r="B1" s="1" t="s">
        <v>1</v>
      </c>
      <c r="C1" s="1" t="s">
        <v>2</v>
      </c>
      <c r="D1" s="1" t="s">
        <v>3</v>
      </c>
      <c r="E1" s="1" t="s">
        <v>4</v>
      </c>
      <c r="F1" s="1" t="s">
        <v>5</v>
      </c>
      <c r="G1" s="1" t="s">
        <v>6</v>
      </c>
      <c r="H1" s="1" t="s">
        <v>7</v>
      </c>
      <c r="I1" s="1" t="s">
        <v>8</v>
      </c>
      <c r="J1" s="5" t="s">
        <v>76</v>
      </c>
      <c r="K1" s="5" t="s">
        <v>77</v>
      </c>
      <c r="L1" s="5" t="s">
        <v>140</v>
      </c>
    </row>
    <row r="2" spans="1:17" ht="15.75" hidden="1" thickBot="1" x14ac:dyDescent="0.3">
      <c r="A2" s="2" t="s">
        <v>9</v>
      </c>
      <c r="B2" s="2" t="s">
        <v>10</v>
      </c>
      <c r="C2" s="2" t="s">
        <v>11</v>
      </c>
      <c r="D2" s="2" t="s">
        <v>12</v>
      </c>
      <c r="E2" s="3">
        <v>1036.0899999999999</v>
      </c>
      <c r="F2" s="3">
        <v>4</v>
      </c>
      <c r="G2" s="3">
        <v>0.2</v>
      </c>
      <c r="H2" s="4">
        <v>45392</v>
      </c>
      <c r="I2" s="3">
        <v>331.55</v>
      </c>
      <c r="J2">
        <f>MAX(0,G2-5%)</f>
        <v>0.15000000000000002</v>
      </c>
      <c r="K2">
        <f>E2*(1-J2)</f>
        <v>880.67649999999992</v>
      </c>
      <c r="L2" s="24"/>
      <c r="O2" s="25" t="s">
        <v>135</v>
      </c>
    </row>
    <row r="3" spans="1:17" ht="15.75" hidden="1" thickBot="1" x14ac:dyDescent="0.3">
      <c r="A3" s="2" t="s">
        <v>13</v>
      </c>
      <c r="B3" s="2" t="s">
        <v>14</v>
      </c>
      <c r="C3" s="2" t="s">
        <v>11</v>
      </c>
      <c r="D3" s="2" t="s">
        <v>15</v>
      </c>
      <c r="E3" s="3">
        <v>1101.28</v>
      </c>
      <c r="F3" s="3">
        <v>3</v>
      </c>
      <c r="G3" s="3">
        <v>0.2</v>
      </c>
      <c r="H3" s="4">
        <v>45393</v>
      </c>
      <c r="I3" s="3">
        <v>440.51</v>
      </c>
      <c r="J3">
        <f t="shared" ref="J3:J34" si="0">MAX(0,G2-5%)</f>
        <v>0.15000000000000002</v>
      </c>
      <c r="K3">
        <f t="shared" ref="K3:K29" si="1">E3*(1-J3)</f>
        <v>936.08799999999997</v>
      </c>
      <c r="O3" s="26">
        <f ca="1">NOW()</f>
        <v>46307.642078356483</v>
      </c>
    </row>
    <row r="4" spans="1:17" ht="15.75" hidden="1" thickBot="1" x14ac:dyDescent="0.3">
      <c r="A4" s="2" t="s">
        <v>16</v>
      </c>
      <c r="B4" s="2" t="s">
        <v>17</v>
      </c>
      <c r="C4" s="2" t="s">
        <v>18</v>
      </c>
      <c r="D4" s="2" t="s">
        <v>12</v>
      </c>
      <c r="E4" s="3">
        <v>713.34</v>
      </c>
      <c r="F4" s="3">
        <v>17</v>
      </c>
      <c r="G4" s="3">
        <v>0</v>
      </c>
      <c r="H4" s="4">
        <v>45396</v>
      </c>
      <c r="I4" s="3">
        <v>285.33999999999997</v>
      </c>
      <c r="J4">
        <f t="shared" si="0"/>
        <v>0.15000000000000002</v>
      </c>
      <c r="K4">
        <f t="shared" si="1"/>
        <v>606.33900000000006</v>
      </c>
    </row>
    <row r="5" spans="1:17" ht="15.75" hidden="1" thickBot="1" x14ac:dyDescent="0.3">
      <c r="A5" s="2" t="s">
        <v>19</v>
      </c>
      <c r="B5" s="2" t="s">
        <v>14</v>
      </c>
      <c r="C5" s="2" t="s">
        <v>20</v>
      </c>
      <c r="D5" s="2" t="s">
        <v>21</v>
      </c>
      <c r="E5" s="3">
        <v>760.93</v>
      </c>
      <c r="F5" s="3">
        <v>4</v>
      </c>
      <c r="G5" s="3">
        <v>0.15</v>
      </c>
      <c r="H5" s="4">
        <v>45396</v>
      </c>
      <c r="I5" s="3">
        <v>161.69999999999999</v>
      </c>
      <c r="J5">
        <f t="shared" si="0"/>
        <v>0</v>
      </c>
      <c r="K5">
        <f t="shared" si="1"/>
        <v>760.93</v>
      </c>
      <c r="M5" s="7" t="s">
        <v>78</v>
      </c>
      <c r="N5" s="8"/>
      <c r="O5" s="10" t="s">
        <v>79</v>
      </c>
      <c r="P5" s="12"/>
    </row>
    <row r="6" spans="1:17" ht="15.75" hidden="1" thickBot="1" x14ac:dyDescent="0.3">
      <c r="A6" s="2" t="s">
        <v>22</v>
      </c>
      <c r="B6" s="2" t="s">
        <v>23</v>
      </c>
      <c r="C6" s="2" t="s">
        <v>24</v>
      </c>
      <c r="D6" s="2" t="s">
        <v>12</v>
      </c>
      <c r="E6" s="3">
        <v>847</v>
      </c>
      <c r="F6" s="3">
        <v>12</v>
      </c>
      <c r="G6" s="3">
        <v>0.2</v>
      </c>
      <c r="H6" s="4">
        <v>45397</v>
      </c>
      <c r="I6" s="3">
        <v>271.04000000000002</v>
      </c>
      <c r="J6">
        <f t="shared" si="0"/>
        <v>9.9999999999999992E-2</v>
      </c>
      <c r="K6">
        <f t="shared" si="1"/>
        <v>762.30000000000007</v>
      </c>
      <c r="M6" s="9">
        <f>SUM(I2:I201)</f>
        <v>68287.010000000009</v>
      </c>
      <c r="N6" s="9"/>
      <c r="O6" s="11">
        <f>SUM(K2:K201)</f>
        <v>142832.67349999995</v>
      </c>
    </row>
    <row r="7" spans="1:17" ht="15.75" hidden="1" thickBot="1" x14ac:dyDescent="0.3">
      <c r="A7" s="2" t="s">
        <v>25</v>
      </c>
      <c r="B7" s="2" t="s">
        <v>26</v>
      </c>
      <c r="C7" s="2" t="s">
        <v>24</v>
      </c>
      <c r="D7" s="2" t="s">
        <v>27</v>
      </c>
      <c r="E7" s="3">
        <v>965.64</v>
      </c>
      <c r="F7" s="3">
        <v>8</v>
      </c>
      <c r="G7" s="3">
        <v>0.1</v>
      </c>
      <c r="H7" s="4">
        <v>45398</v>
      </c>
      <c r="I7" s="3">
        <v>304.18</v>
      </c>
      <c r="J7">
        <f t="shared" si="0"/>
        <v>0.15000000000000002</v>
      </c>
      <c r="K7">
        <f t="shared" si="1"/>
        <v>820.79399999999998</v>
      </c>
    </row>
    <row r="8" spans="1:17" ht="15.75" thickBot="1" x14ac:dyDescent="0.3">
      <c r="A8" s="2" t="s">
        <v>28</v>
      </c>
      <c r="B8" s="2" t="s">
        <v>29</v>
      </c>
      <c r="C8" s="2" t="s">
        <v>11</v>
      </c>
      <c r="D8" s="2" t="s">
        <v>21</v>
      </c>
      <c r="E8" s="3">
        <v>1317.53</v>
      </c>
      <c r="F8" s="3">
        <v>12</v>
      </c>
      <c r="G8" s="3">
        <v>0.05</v>
      </c>
      <c r="H8" s="4">
        <v>45398</v>
      </c>
      <c r="I8" s="3">
        <v>312.91000000000003</v>
      </c>
      <c r="J8">
        <f t="shared" si="0"/>
        <v>0.05</v>
      </c>
      <c r="K8">
        <f>I2+E2*(G2-J2)</f>
        <v>383.35449999999997</v>
      </c>
      <c r="L8">
        <f>SUM(I2:I201)</f>
        <v>68287.010000000009</v>
      </c>
    </row>
    <row r="9" spans="1:17" ht="15.75" hidden="1" thickBot="1" x14ac:dyDescent="0.3">
      <c r="A9" s="2" t="s">
        <v>30</v>
      </c>
      <c r="B9" s="2" t="s">
        <v>31</v>
      </c>
      <c r="C9" s="2" t="s">
        <v>18</v>
      </c>
      <c r="D9" s="2" t="s">
        <v>27</v>
      </c>
      <c r="E9" s="3">
        <v>1074.47</v>
      </c>
      <c r="F9" s="3">
        <v>6</v>
      </c>
      <c r="G9" s="3">
        <v>0.2</v>
      </c>
      <c r="H9" s="4">
        <v>45401</v>
      </c>
      <c r="I9" s="3">
        <v>300.85000000000002</v>
      </c>
      <c r="J9">
        <f t="shared" si="0"/>
        <v>0</v>
      </c>
      <c r="K9">
        <f t="shared" si="1"/>
        <v>1074.47</v>
      </c>
    </row>
    <row r="10" spans="1:17" ht="15.75" hidden="1" thickBot="1" x14ac:dyDescent="0.3">
      <c r="A10" s="2" t="s">
        <v>32</v>
      </c>
      <c r="B10" s="2" t="s">
        <v>33</v>
      </c>
      <c r="C10" s="2" t="s">
        <v>34</v>
      </c>
      <c r="D10" s="2" t="s">
        <v>12</v>
      </c>
      <c r="E10" s="3">
        <v>501.54</v>
      </c>
      <c r="F10" s="3">
        <v>11</v>
      </c>
      <c r="G10" s="3">
        <v>0.05</v>
      </c>
      <c r="H10" s="4">
        <v>45401</v>
      </c>
      <c r="I10" s="3">
        <v>190.59</v>
      </c>
      <c r="J10">
        <f t="shared" si="0"/>
        <v>0.15000000000000002</v>
      </c>
      <c r="K10">
        <f t="shared" si="1"/>
        <v>426.30900000000003</v>
      </c>
    </row>
    <row r="11" spans="1:17" ht="15.75" hidden="1" thickBot="1" x14ac:dyDescent="0.3">
      <c r="A11" s="2" t="s">
        <v>35</v>
      </c>
      <c r="B11" s="2" t="s">
        <v>36</v>
      </c>
      <c r="C11" s="2" t="s">
        <v>34</v>
      </c>
      <c r="D11" s="2" t="s">
        <v>15</v>
      </c>
      <c r="E11" s="3">
        <v>737.31</v>
      </c>
      <c r="F11" s="3">
        <v>2</v>
      </c>
      <c r="G11" s="3">
        <v>0.05</v>
      </c>
      <c r="H11" s="4">
        <v>45401</v>
      </c>
      <c r="I11" s="3">
        <v>350.22</v>
      </c>
      <c r="J11">
        <f t="shared" si="0"/>
        <v>0</v>
      </c>
      <c r="K11">
        <f t="shared" si="1"/>
        <v>737.31</v>
      </c>
      <c r="O11" s="7"/>
      <c r="P11" s="8"/>
      <c r="Q11" s="10"/>
    </row>
    <row r="12" spans="1:17" ht="15.75" thickBot="1" x14ac:dyDescent="0.3">
      <c r="A12" s="2" t="s">
        <v>37</v>
      </c>
      <c r="B12" s="2" t="s">
        <v>38</v>
      </c>
      <c r="C12" s="2" t="s">
        <v>11</v>
      </c>
      <c r="D12" s="2" t="s">
        <v>39</v>
      </c>
      <c r="E12" s="3">
        <v>1572.82</v>
      </c>
      <c r="F12" s="3">
        <v>6</v>
      </c>
      <c r="G12" s="3">
        <v>0.05</v>
      </c>
      <c r="H12" s="4">
        <v>45402</v>
      </c>
      <c r="I12" s="3">
        <v>672.38</v>
      </c>
      <c r="J12">
        <f t="shared" ref="J12:J13" si="2">MAX(0,G11-5%)</f>
        <v>0</v>
      </c>
      <c r="K12">
        <f t="shared" ref="K12:K13" si="3">I6+E6*(G6-J6)</f>
        <v>355.74</v>
      </c>
      <c r="L12">
        <f t="shared" ref="L12:L13" si="4">SUM(I6:I205)</f>
        <v>67067.910000000033</v>
      </c>
      <c r="O12" s="9"/>
      <c r="P12" s="9"/>
      <c r="Q12" s="11"/>
    </row>
    <row r="13" spans="1:17" ht="15.75" thickBot="1" x14ac:dyDescent="0.3">
      <c r="A13" s="2" t="s">
        <v>37</v>
      </c>
      <c r="B13" s="2" t="s">
        <v>36</v>
      </c>
      <c r="C13" s="2" t="s">
        <v>34</v>
      </c>
      <c r="D13" s="2" t="s">
        <v>12</v>
      </c>
      <c r="E13" s="3">
        <v>1343.13</v>
      </c>
      <c r="F13" s="3">
        <v>14</v>
      </c>
      <c r="G13" s="3">
        <v>0.15</v>
      </c>
      <c r="H13" s="4">
        <v>45404</v>
      </c>
      <c r="I13" s="3">
        <v>456.66</v>
      </c>
      <c r="J13">
        <f t="shared" si="2"/>
        <v>0</v>
      </c>
      <c r="K13">
        <f t="shared" si="3"/>
        <v>255.898</v>
      </c>
      <c r="L13">
        <f t="shared" si="4"/>
        <v>66796.87000000001</v>
      </c>
      <c r="M13" s="17" t="s">
        <v>139</v>
      </c>
    </row>
    <row r="14" spans="1:17" ht="15.75" hidden="1" thickBot="1" x14ac:dyDescent="0.3">
      <c r="A14" s="2" t="s">
        <v>25</v>
      </c>
      <c r="B14" s="2" t="s">
        <v>26</v>
      </c>
      <c r="C14" s="2" t="s">
        <v>34</v>
      </c>
      <c r="D14" s="2" t="s">
        <v>12</v>
      </c>
      <c r="E14" s="3">
        <v>1191.58</v>
      </c>
      <c r="F14" s="3">
        <v>14</v>
      </c>
      <c r="G14" s="3">
        <v>0.05</v>
      </c>
      <c r="H14" s="4">
        <v>45406</v>
      </c>
      <c r="I14" s="3">
        <v>452.8</v>
      </c>
      <c r="J14">
        <f t="shared" si="0"/>
        <v>9.9999999999999992E-2</v>
      </c>
      <c r="K14">
        <f t="shared" si="1"/>
        <v>1072.422</v>
      </c>
      <c r="M14" s="9"/>
    </row>
    <row r="15" spans="1:17" ht="15.75" hidden="1" thickBot="1" x14ac:dyDescent="0.3">
      <c r="A15" s="2" t="s">
        <v>40</v>
      </c>
      <c r="B15" s="2" t="s">
        <v>14</v>
      </c>
      <c r="C15" s="2" t="s">
        <v>11</v>
      </c>
      <c r="D15" s="2" t="s">
        <v>27</v>
      </c>
      <c r="E15" s="3">
        <v>822.28</v>
      </c>
      <c r="F15" s="3">
        <v>7</v>
      </c>
      <c r="G15" s="3">
        <v>0.05</v>
      </c>
      <c r="H15" s="4">
        <v>45406</v>
      </c>
      <c r="I15" s="3">
        <v>273.41000000000003</v>
      </c>
      <c r="J15">
        <f t="shared" si="0"/>
        <v>0</v>
      </c>
      <c r="K15">
        <f t="shared" si="1"/>
        <v>822.28</v>
      </c>
      <c r="M15" s="9"/>
    </row>
    <row r="16" spans="1:17" ht="15.75" hidden="1" thickBot="1" x14ac:dyDescent="0.3">
      <c r="A16" s="2" t="s">
        <v>41</v>
      </c>
      <c r="B16" s="2" t="s">
        <v>42</v>
      </c>
      <c r="C16" s="2" t="s">
        <v>24</v>
      </c>
      <c r="D16" s="2" t="s">
        <v>27</v>
      </c>
      <c r="E16" s="3">
        <v>521.66999999999996</v>
      </c>
      <c r="F16" s="3">
        <v>15</v>
      </c>
      <c r="G16" s="3">
        <v>0.15</v>
      </c>
      <c r="H16" s="4">
        <v>45409</v>
      </c>
      <c r="I16" s="3">
        <v>155.19999999999999</v>
      </c>
      <c r="J16">
        <f t="shared" si="0"/>
        <v>0</v>
      </c>
      <c r="K16">
        <f t="shared" si="1"/>
        <v>521.66999999999996</v>
      </c>
      <c r="M16" s="9"/>
    </row>
    <row r="17" spans="1:13" ht="15.75" thickBot="1" x14ac:dyDescent="0.3">
      <c r="A17" s="2" t="s">
        <v>19</v>
      </c>
      <c r="B17" s="2" t="s">
        <v>43</v>
      </c>
      <c r="C17" s="2" t="s">
        <v>20</v>
      </c>
      <c r="D17" s="2" t="s">
        <v>21</v>
      </c>
      <c r="E17" s="3">
        <v>1502.93</v>
      </c>
      <c r="F17" s="3">
        <v>14</v>
      </c>
      <c r="G17" s="3">
        <v>0.2</v>
      </c>
      <c r="H17" s="4">
        <v>45410</v>
      </c>
      <c r="I17" s="3">
        <v>300.58999999999997</v>
      </c>
      <c r="J17">
        <f t="shared" ref="J17" si="5">MAX(0,G16-5%)</f>
        <v>9.9999999999999992E-2</v>
      </c>
      <c r="K17">
        <f>I11+E11*(G11-J11)</f>
        <v>387.08550000000002</v>
      </c>
      <c r="L17">
        <f>SUM(I11:I210)</f>
        <v>65688.340000000026</v>
      </c>
      <c r="M17" s="26">
        <f ca="1">NOW()</f>
        <v>46307.642078356483</v>
      </c>
    </row>
    <row r="18" spans="1:13" ht="15.75" hidden="1" thickBot="1" x14ac:dyDescent="0.3">
      <c r="A18" s="2" t="s">
        <v>44</v>
      </c>
      <c r="B18" s="2" t="s">
        <v>14</v>
      </c>
      <c r="C18" s="2" t="s">
        <v>20</v>
      </c>
      <c r="D18" s="2" t="s">
        <v>12</v>
      </c>
      <c r="E18" s="3">
        <v>877.58</v>
      </c>
      <c r="F18" s="3">
        <v>10</v>
      </c>
      <c r="G18" s="3">
        <v>0.15</v>
      </c>
      <c r="H18" s="4">
        <v>45411</v>
      </c>
      <c r="I18" s="3">
        <v>298.38</v>
      </c>
      <c r="J18">
        <f t="shared" si="0"/>
        <v>0.15000000000000002</v>
      </c>
      <c r="K18">
        <f t="shared" si="1"/>
        <v>745.94299999999998</v>
      </c>
    </row>
    <row r="19" spans="1:13" ht="15.75" hidden="1" thickBot="1" x14ac:dyDescent="0.3">
      <c r="A19" s="2" t="s">
        <v>28</v>
      </c>
      <c r="B19" s="2" t="s">
        <v>45</v>
      </c>
      <c r="C19" s="2" t="s">
        <v>11</v>
      </c>
      <c r="D19" s="2" t="s">
        <v>12</v>
      </c>
      <c r="E19" s="3">
        <v>636.70000000000005</v>
      </c>
      <c r="F19" s="3">
        <v>4</v>
      </c>
      <c r="G19" s="3">
        <v>0.2</v>
      </c>
      <c r="H19" s="4">
        <v>45411</v>
      </c>
      <c r="I19" s="3">
        <v>203.74</v>
      </c>
      <c r="J19">
        <f t="shared" si="0"/>
        <v>9.9999999999999992E-2</v>
      </c>
      <c r="K19">
        <f>E19*(1-J19)</f>
        <v>573.03000000000009</v>
      </c>
    </row>
    <row r="20" spans="1:13" ht="15.75" thickBot="1" x14ac:dyDescent="0.3">
      <c r="A20" s="2" t="s">
        <v>46</v>
      </c>
      <c r="B20" s="2" t="s">
        <v>47</v>
      </c>
      <c r="C20" s="2" t="s">
        <v>11</v>
      </c>
      <c r="D20" s="2" t="s">
        <v>12</v>
      </c>
      <c r="E20" s="3">
        <v>1506.14</v>
      </c>
      <c r="F20" s="3">
        <v>13</v>
      </c>
      <c r="G20" s="3">
        <v>0.2</v>
      </c>
      <c r="H20" s="4">
        <v>45412</v>
      </c>
      <c r="I20" s="3">
        <v>481.96</v>
      </c>
      <c r="J20">
        <f t="shared" ref="J20" si="6">MAX(0,G19-5%)</f>
        <v>0.15000000000000002</v>
      </c>
      <c r="K20">
        <f>I14+E14*(G14-J14)</f>
        <v>393.221</v>
      </c>
      <c r="L20">
        <f>SUM(I14:I213)</f>
        <v>64209.080000000024</v>
      </c>
    </row>
    <row r="21" spans="1:13" ht="15.75" hidden="1" thickBot="1" x14ac:dyDescent="0.3">
      <c r="A21" s="2" t="s">
        <v>30</v>
      </c>
      <c r="B21" s="2" t="s">
        <v>31</v>
      </c>
      <c r="C21" s="2" t="s">
        <v>34</v>
      </c>
      <c r="D21" s="2" t="s">
        <v>21</v>
      </c>
      <c r="E21" s="3">
        <v>645.02</v>
      </c>
      <c r="F21" s="3">
        <v>4</v>
      </c>
      <c r="G21" s="3">
        <v>0</v>
      </c>
      <c r="H21" s="4">
        <v>45414</v>
      </c>
      <c r="I21" s="3">
        <v>161.26</v>
      </c>
      <c r="J21">
        <f t="shared" si="0"/>
        <v>0.15000000000000002</v>
      </c>
      <c r="K21">
        <f t="shared" si="1"/>
        <v>548.26699999999994</v>
      </c>
    </row>
    <row r="22" spans="1:13" ht="15.75" hidden="1" thickBot="1" x14ac:dyDescent="0.3">
      <c r="A22" s="2" t="s">
        <v>25</v>
      </c>
      <c r="B22" s="2" t="s">
        <v>48</v>
      </c>
      <c r="C22" s="2" t="s">
        <v>20</v>
      </c>
      <c r="D22" s="2" t="s">
        <v>15</v>
      </c>
      <c r="E22" s="3">
        <v>953.3</v>
      </c>
      <c r="F22" s="3">
        <v>11</v>
      </c>
      <c r="G22" s="3">
        <v>0</v>
      </c>
      <c r="H22" s="4">
        <v>45415</v>
      </c>
      <c r="I22" s="3">
        <v>476.65</v>
      </c>
      <c r="J22">
        <f t="shared" si="0"/>
        <v>0</v>
      </c>
      <c r="K22">
        <f t="shared" si="1"/>
        <v>953.3</v>
      </c>
    </row>
    <row r="23" spans="1:13" ht="15.75" hidden="1" thickBot="1" x14ac:dyDescent="0.3">
      <c r="A23" s="2" t="s">
        <v>49</v>
      </c>
      <c r="B23" s="2" t="s">
        <v>14</v>
      </c>
      <c r="C23" s="2" t="s">
        <v>24</v>
      </c>
      <c r="D23" s="2" t="s">
        <v>21</v>
      </c>
      <c r="E23" s="3">
        <v>388.56</v>
      </c>
      <c r="F23" s="3">
        <v>14</v>
      </c>
      <c r="G23" s="3">
        <v>0.15</v>
      </c>
      <c r="H23" s="4">
        <v>45416</v>
      </c>
      <c r="I23" s="3">
        <v>82.57</v>
      </c>
      <c r="J23">
        <f t="shared" si="0"/>
        <v>0</v>
      </c>
      <c r="K23">
        <f t="shared" si="1"/>
        <v>388.56</v>
      </c>
    </row>
    <row r="24" spans="1:13" ht="15.75" hidden="1" thickBot="1" x14ac:dyDescent="0.3">
      <c r="A24" s="2" t="s">
        <v>9</v>
      </c>
      <c r="B24" s="2" t="s">
        <v>31</v>
      </c>
      <c r="C24" s="2" t="s">
        <v>11</v>
      </c>
      <c r="D24" s="2" t="s">
        <v>12</v>
      </c>
      <c r="E24" s="3">
        <v>743.17</v>
      </c>
      <c r="F24" s="3">
        <v>9</v>
      </c>
      <c r="G24" s="3">
        <v>0</v>
      </c>
      <c r="H24" s="4">
        <v>45416</v>
      </c>
      <c r="I24" s="3">
        <v>297.27</v>
      </c>
      <c r="J24">
        <f t="shared" si="0"/>
        <v>9.9999999999999992E-2</v>
      </c>
      <c r="K24">
        <f t="shared" si="1"/>
        <v>668.85299999999995</v>
      </c>
    </row>
    <row r="25" spans="1:13" ht="15.75" hidden="1" thickBot="1" x14ac:dyDescent="0.3">
      <c r="A25" s="2" t="s">
        <v>40</v>
      </c>
      <c r="B25" s="2" t="s">
        <v>31</v>
      </c>
      <c r="C25" s="2" t="s">
        <v>34</v>
      </c>
      <c r="D25" s="2" t="s">
        <v>21</v>
      </c>
      <c r="E25" s="3">
        <v>706.37</v>
      </c>
      <c r="F25" s="3">
        <v>6</v>
      </c>
      <c r="G25" s="3">
        <v>0</v>
      </c>
      <c r="H25" s="4">
        <v>45416</v>
      </c>
      <c r="I25" s="3">
        <v>176.59</v>
      </c>
      <c r="J25">
        <f t="shared" si="0"/>
        <v>0</v>
      </c>
      <c r="K25">
        <f t="shared" si="1"/>
        <v>706.37</v>
      </c>
    </row>
    <row r="26" spans="1:13" ht="15.75" hidden="1" thickBot="1" x14ac:dyDescent="0.3">
      <c r="A26" s="2" t="s">
        <v>13</v>
      </c>
      <c r="B26" s="2" t="s">
        <v>31</v>
      </c>
      <c r="C26" s="2" t="s">
        <v>34</v>
      </c>
      <c r="D26" s="2" t="s">
        <v>39</v>
      </c>
      <c r="E26" s="3">
        <v>925.31</v>
      </c>
      <c r="F26" s="3">
        <v>8</v>
      </c>
      <c r="G26" s="3">
        <v>0.1</v>
      </c>
      <c r="H26" s="4">
        <v>45418</v>
      </c>
      <c r="I26" s="3">
        <v>374.75</v>
      </c>
      <c r="J26">
        <f t="shared" si="0"/>
        <v>0</v>
      </c>
      <c r="K26">
        <f t="shared" si="1"/>
        <v>925.31</v>
      </c>
    </row>
    <row r="27" spans="1:13" ht="15.75" hidden="1" thickBot="1" x14ac:dyDescent="0.3">
      <c r="A27" s="2" t="s">
        <v>35</v>
      </c>
      <c r="B27" s="2" t="s">
        <v>50</v>
      </c>
      <c r="C27" s="2" t="s">
        <v>20</v>
      </c>
      <c r="D27" s="2" t="s">
        <v>21</v>
      </c>
      <c r="E27" s="3">
        <v>1173.1199999999999</v>
      </c>
      <c r="F27" s="3">
        <v>18</v>
      </c>
      <c r="G27" s="3">
        <v>0</v>
      </c>
      <c r="H27" s="4">
        <v>45418</v>
      </c>
      <c r="I27" s="3">
        <v>293.27999999999997</v>
      </c>
      <c r="J27">
        <f t="shared" si="0"/>
        <v>0.05</v>
      </c>
      <c r="K27">
        <f t="shared" si="1"/>
        <v>1114.4639999999999</v>
      </c>
    </row>
    <row r="28" spans="1:13" ht="15.75" hidden="1" thickBot="1" x14ac:dyDescent="0.3">
      <c r="A28" s="2" t="s">
        <v>22</v>
      </c>
      <c r="B28" s="2" t="s">
        <v>51</v>
      </c>
      <c r="C28" s="2" t="s">
        <v>24</v>
      </c>
      <c r="D28" s="2" t="s">
        <v>27</v>
      </c>
      <c r="E28" s="3">
        <v>675.54</v>
      </c>
      <c r="F28" s="3">
        <v>17</v>
      </c>
      <c r="G28" s="3">
        <v>0</v>
      </c>
      <c r="H28" s="4">
        <v>45420</v>
      </c>
      <c r="I28" s="3">
        <v>236.44</v>
      </c>
      <c r="J28">
        <f t="shared" si="0"/>
        <v>0</v>
      </c>
      <c r="K28">
        <f t="shared" si="1"/>
        <v>675.54</v>
      </c>
    </row>
    <row r="29" spans="1:13" ht="15.75" hidden="1" thickBot="1" x14ac:dyDescent="0.3">
      <c r="A29" s="2" t="s">
        <v>25</v>
      </c>
      <c r="B29" s="2" t="s">
        <v>14</v>
      </c>
      <c r="C29" s="2" t="s">
        <v>34</v>
      </c>
      <c r="D29" s="2" t="s">
        <v>12</v>
      </c>
      <c r="E29" s="3">
        <v>939.09</v>
      </c>
      <c r="F29" s="3">
        <v>2</v>
      </c>
      <c r="G29" s="3">
        <v>0.05</v>
      </c>
      <c r="H29" s="4">
        <v>45422</v>
      </c>
      <c r="I29" s="3">
        <v>356.85</v>
      </c>
      <c r="J29">
        <f t="shared" si="0"/>
        <v>0</v>
      </c>
      <c r="K29">
        <f t="shared" si="1"/>
        <v>939.09</v>
      </c>
    </row>
    <row r="30" spans="1:13" ht="15.75" hidden="1" thickBot="1" x14ac:dyDescent="0.3">
      <c r="A30" s="2" t="s">
        <v>52</v>
      </c>
      <c r="B30" s="2" t="s">
        <v>53</v>
      </c>
      <c r="C30" s="2" t="s">
        <v>18</v>
      </c>
      <c r="D30" s="2" t="s">
        <v>39</v>
      </c>
      <c r="E30" s="3">
        <v>983.34</v>
      </c>
      <c r="F30" s="3">
        <v>19</v>
      </c>
      <c r="G30" s="3">
        <v>0.1</v>
      </c>
      <c r="H30" s="4">
        <v>45426</v>
      </c>
      <c r="I30" s="3">
        <v>398.25</v>
      </c>
      <c r="J30">
        <f t="shared" si="0"/>
        <v>0</v>
      </c>
      <c r="K30">
        <f>E30*(1-J30)</f>
        <v>983.34</v>
      </c>
    </row>
    <row r="31" spans="1:13" ht="15.75" hidden="1" thickBot="1" x14ac:dyDescent="0.3">
      <c r="A31" s="2" t="s">
        <v>52</v>
      </c>
      <c r="B31" s="2" t="s">
        <v>23</v>
      </c>
      <c r="C31" s="2" t="s">
        <v>20</v>
      </c>
      <c r="D31" s="2" t="s">
        <v>21</v>
      </c>
      <c r="E31" s="3">
        <v>801.21</v>
      </c>
      <c r="F31" s="3">
        <v>3</v>
      </c>
      <c r="G31" s="3">
        <v>0.2</v>
      </c>
      <c r="H31" s="4">
        <v>45426</v>
      </c>
      <c r="I31" s="3">
        <v>160.24</v>
      </c>
      <c r="J31">
        <f t="shared" si="0"/>
        <v>0.05</v>
      </c>
      <c r="K31">
        <f t="shared" ref="K31:K94" si="7">E31*(1-J31)</f>
        <v>761.14949999999999</v>
      </c>
    </row>
    <row r="32" spans="1:13" ht="15.75" thickBot="1" x14ac:dyDescent="0.3">
      <c r="A32" s="2" t="s">
        <v>54</v>
      </c>
      <c r="B32" s="2" t="s">
        <v>55</v>
      </c>
      <c r="C32" s="2" t="s">
        <v>24</v>
      </c>
      <c r="D32" s="2" t="s">
        <v>21</v>
      </c>
      <c r="E32" s="3">
        <v>1450.71</v>
      </c>
      <c r="F32" s="3">
        <v>5</v>
      </c>
      <c r="G32" s="3">
        <v>0.1</v>
      </c>
      <c r="H32" s="4">
        <v>45427</v>
      </c>
      <c r="I32" s="3">
        <v>326.41000000000003</v>
      </c>
      <c r="J32">
        <f t="shared" ref="J32" si="8">MAX(0,G31-5%)</f>
        <v>0.15000000000000002</v>
      </c>
      <c r="K32">
        <f>I26+E26*(G26-J26)</f>
        <v>467.28100000000001</v>
      </c>
      <c r="L32">
        <f>SUM(I26:I225)</f>
        <v>60848.66</v>
      </c>
      <c r="M32" t="s">
        <v>144</v>
      </c>
    </row>
    <row r="33" spans="1:13" ht="15.75" hidden="1" thickBot="1" x14ac:dyDescent="0.3">
      <c r="A33" s="2" t="s">
        <v>49</v>
      </c>
      <c r="B33" s="2" t="s">
        <v>56</v>
      </c>
      <c r="C33" s="2" t="s">
        <v>34</v>
      </c>
      <c r="D33" s="2" t="s">
        <v>12</v>
      </c>
      <c r="E33" s="3">
        <v>1023.21</v>
      </c>
      <c r="F33" s="3">
        <v>18</v>
      </c>
      <c r="G33" s="3">
        <v>0.05</v>
      </c>
      <c r="H33" s="4">
        <v>45428</v>
      </c>
      <c r="I33" s="3">
        <v>388.82</v>
      </c>
      <c r="J33">
        <f t="shared" si="0"/>
        <v>0.05</v>
      </c>
      <c r="K33">
        <f t="shared" si="7"/>
        <v>972.04949999999997</v>
      </c>
    </row>
    <row r="34" spans="1:13" ht="15.75" hidden="1" thickBot="1" x14ac:dyDescent="0.3">
      <c r="A34" s="2" t="s">
        <v>28</v>
      </c>
      <c r="B34" s="2" t="s">
        <v>47</v>
      </c>
      <c r="C34" s="2" t="s">
        <v>11</v>
      </c>
      <c r="D34" s="2" t="s">
        <v>27</v>
      </c>
      <c r="E34" s="3">
        <v>853.72</v>
      </c>
      <c r="F34" s="3">
        <v>5</v>
      </c>
      <c r="G34" s="3">
        <v>0.15</v>
      </c>
      <c r="H34" s="4">
        <v>45428</v>
      </c>
      <c r="I34" s="3">
        <v>253.98</v>
      </c>
      <c r="J34">
        <f t="shared" si="0"/>
        <v>0</v>
      </c>
      <c r="K34">
        <f t="shared" si="7"/>
        <v>853.72</v>
      </c>
    </row>
    <row r="35" spans="1:13" ht="15.75" hidden="1" thickBot="1" x14ac:dyDescent="0.3">
      <c r="A35" s="2" t="s">
        <v>57</v>
      </c>
      <c r="B35" s="2" t="s">
        <v>43</v>
      </c>
      <c r="C35" s="2" t="s">
        <v>20</v>
      </c>
      <c r="D35" s="2" t="s">
        <v>21</v>
      </c>
      <c r="E35" s="3">
        <v>967.89</v>
      </c>
      <c r="F35" s="3">
        <v>10</v>
      </c>
      <c r="G35" s="3">
        <v>0.1</v>
      </c>
      <c r="H35" s="4">
        <v>45429</v>
      </c>
      <c r="I35" s="3">
        <v>217.78</v>
      </c>
      <c r="J35">
        <f t="shared" ref="J35:J66" si="9">MAX(0,G34-5%)</f>
        <v>9.9999999999999992E-2</v>
      </c>
      <c r="K35">
        <f t="shared" si="7"/>
        <v>871.101</v>
      </c>
    </row>
    <row r="36" spans="1:13" ht="15.75" thickBot="1" x14ac:dyDescent="0.3">
      <c r="A36" s="2" t="s">
        <v>58</v>
      </c>
      <c r="B36" s="2" t="s">
        <v>53</v>
      </c>
      <c r="C36" s="2" t="s">
        <v>24</v>
      </c>
      <c r="D36" s="2" t="s">
        <v>39</v>
      </c>
      <c r="E36" s="3">
        <v>1200.9000000000001</v>
      </c>
      <c r="F36" s="3">
        <v>14</v>
      </c>
      <c r="G36" s="3">
        <v>0.05</v>
      </c>
      <c r="H36" s="4">
        <v>45429</v>
      </c>
      <c r="I36" s="3">
        <v>513.38</v>
      </c>
      <c r="J36">
        <f t="shared" si="9"/>
        <v>0.05</v>
      </c>
      <c r="K36">
        <f>I30+E30*(G30-J30)</f>
        <v>496.584</v>
      </c>
      <c r="L36">
        <f>SUM(I30:I229)</f>
        <v>59587.34</v>
      </c>
      <c r="M36">
        <f>SUM(L8:L197)</f>
        <v>1687888.9000000001</v>
      </c>
    </row>
    <row r="37" spans="1:13" ht="15.75" hidden="1" thickBot="1" x14ac:dyDescent="0.3">
      <c r="A37" s="2" t="s">
        <v>13</v>
      </c>
      <c r="B37" s="2" t="s">
        <v>26</v>
      </c>
      <c r="C37" s="2" t="s">
        <v>11</v>
      </c>
      <c r="D37" s="2" t="s">
        <v>12</v>
      </c>
      <c r="E37" s="3">
        <v>472.38</v>
      </c>
      <c r="F37" s="3">
        <v>12</v>
      </c>
      <c r="G37" s="3">
        <v>0.2</v>
      </c>
      <c r="H37" s="4">
        <v>45429</v>
      </c>
      <c r="I37" s="3">
        <v>151.16</v>
      </c>
      <c r="J37">
        <f t="shared" si="9"/>
        <v>0</v>
      </c>
      <c r="K37">
        <f t="shared" si="7"/>
        <v>472.38</v>
      </c>
    </row>
    <row r="38" spans="1:13" ht="15.75" hidden="1" thickBot="1" x14ac:dyDescent="0.3">
      <c r="A38" s="2" t="s">
        <v>9</v>
      </c>
      <c r="B38" s="2" t="s">
        <v>55</v>
      </c>
      <c r="C38" s="2" t="s">
        <v>18</v>
      </c>
      <c r="D38" s="2" t="s">
        <v>39</v>
      </c>
      <c r="E38" s="3">
        <v>840.92</v>
      </c>
      <c r="F38" s="3">
        <v>9</v>
      </c>
      <c r="G38" s="3">
        <v>0.05</v>
      </c>
      <c r="H38" s="4">
        <v>45429</v>
      </c>
      <c r="I38" s="3">
        <v>359.49</v>
      </c>
      <c r="J38">
        <f t="shared" si="9"/>
        <v>0.15000000000000002</v>
      </c>
      <c r="K38">
        <f t="shared" si="7"/>
        <v>714.78199999999993</v>
      </c>
    </row>
    <row r="39" spans="1:13" ht="15.75" thickBot="1" x14ac:dyDescent="0.3">
      <c r="A39" s="2" t="s">
        <v>52</v>
      </c>
      <c r="B39" s="2" t="s">
        <v>48</v>
      </c>
      <c r="C39" s="2" t="s">
        <v>34</v>
      </c>
      <c r="D39" s="2" t="s">
        <v>27</v>
      </c>
      <c r="E39" s="3">
        <v>1410.06</v>
      </c>
      <c r="F39" s="3">
        <v>11</v>
      </c>
      <c r="G39" s="3">
        <v>0.05</v>
      </c>
      <c r="H39" s="4">
        <v>45434</v>
      </c>
      <c r="I39" s="3">
        <v>468.84</v>
      </c>
      <c r="J39">
        <f t="shared" si="9"/>
        <v>0</v>
      </c>
      <c r="K39">
        <f>I33+E33*(G33-J33)</f>
        <v>388.82</v>
      </c>
      <c r="L39">
        <f>SUM(I33:I232)</f>
        <v>58702.439999999988</v>
      </c>
    </row>
    <row r="40" spans="1:13" ht="15.75" hidden="1" thickBot="1" x14ac:dyDescent="0.3">
      <c r="A40" s="2" t="s">
        <v>44</v>
      </c>
      <c r="B40" s="2" t="s">
        <v>59</v>
      </c>
      <c r="C40" s="2" t="s">
        <v>34</v>
      </c>
      <c r="D40" s="2" t="s">
        <v>27</v>
      </c>
      <c r="E40" s="3">
        <v>773.09</v>
      </c>
      <c r="F40" s="3">
        <v>13</v>
      </c>
      <c r="G40" s="3">
        <v>0.15</v>
      </c>
      <c r="H40" s="4">
        <v>45434</v>
      </c>
      <c r="I40" s="3">
        <v>229.99</v>
      </c>
      <c r="J40">
        <f t="shared" si="9"/>
        <v>0</v>
      </c>
      <c r="K40">
        <f t="shared" si="7"/>
        <v>773.09</v>
      </c>
    </row>
    <row r="41" spans="1:13" ht="15.75" hidden="1" thickBot="1" x14ac:dyDescent="0.3">
      <c r="A41" s="2" t="s">
        <v>60</v>
      </c>
      <c r="B41" s="2" t="s">
        <v>61</v>
      </c>
      <c r="C41" s="2" t="s">
        <v>18</v>
      </c>
      <c r="D41" s="2" t="s">
        <v>12</v>
      </c>
      <c r="E41" s="3">
        <v>580.42999999999995</v>
      </c>
      <c r="F41" s="3">
        <v>19</v>
      </c>
      <c r="G41" s="3">
        <v>0.15</v>
      </c>
      <c r="H41" s="4">
        <v>45435</v>
      </c>
      <c r="I41" s="3">
        <v>197.35</v>
      </c>
      <c r="J41">
        <f t="shared" si="9"/>
        <v>9.9999999999999992E-2</v>
      </c>
      <c r="K41">
        <f t="shared" si="7"/>
        <v>522.38699999999994</v>
      </c>
    </row>
    <row r="42" spans="1:13" ht="15.75" hidden="1" thickBot="1" x14ac:dyDescent="0.3">
      <c r="A42" s="2" t="s">
        <v>19</v>
      </c>
      <c r="B42" s="2" t="s">
        <v>42</v>
      </c>
      <c r="C42" s="2" t="s">
        <v>20</v>
      </c>
      <c r="D42" s="2" t="s">
        <v>12</v>
      </c>
      <c r="E42" s="3">
        <v>1151.21</v>
      </c>
      <c r="F42" s="3">
        <v>15</v>
      </c>
      <c r="G42" s="3">
        <v>0.1</v>
      </c>
      <c r="H42" s="4">
        <v>45445</v>
      </c>
      <c r="I42" s="3">
        <v>414.44</v>
      </c>
      <c r="J42">
        <f t="shared" si="9"/>
        <v>9.9999999999999992E-2</v>
      </c>
      <c r="K42">
        <f t="shared" si="7"/>
        <v>1036.0890000000002</v>
      </c>
    </row>
    <row r="43" spans="1:13" ht="15.75" hidden="1" thickBot="1" x14ac:dyDescent="0.3">
      <c r="A43" s="2" t="s">
        <v>52</v>
      </c>
      <c r="B43" s="2" t="s">
        <v>23</v>
      </c>
      <c r="C43" s="2" t="s">
        <v>34</v>
      </c>
      <c r="D43" s="2" t="s">
        <v>39</v>
      </c>
      <c r="E43" s="3">
        <v>1025.98</v>
      </c>
      <c r="F43" s="3">
        <v>5</v>
      </c>
      <c r="G43" s="3">
        <v>0.2</v>
      </c>
      <c r="H43" s="4">
        <v>45447</v>
      </c>
      <c r="I43" s="3">
        <v>369.35</v>
      </c>
      <c r="J43">
        <f t="shared" si="9"/>
        <v>0.05</v>
      </c>
      <c r="K43">
        <f t="shared" si="7"/>
        <v>974.68099999999993</v>
      </c>
    </row>
    <row r="44" spans="1:13" ht="15.75" hidden="1" thickBot="1" x14ac:dyDescent="0.3">
      <c r="A44" s="2" t="s">
        <v>40</v>
      </c>
      <c r="B44" s="2" t="s">
        <v>56</v>
      </c>
      <c r="C44" s="2" t="s">
        <v>18</v>
      </c>
      <c r="D44" s="2" t="s">
        <v>39</v>
      </c>
      <c r="E44" s="3">
        <v>556.41999999999996</v>
      </c>
      <c r="F44" s="3">
        <v>11</v>
      </c>
      <c r="G44" s="3">
        <v>0.15</v>
      </c>
      <c r="H44" s="4">
        <v>45447</v>
      </c>
      <c r="I44" s="3">
        <v>212.83</v>
      </c>
      <c r="J44">
        <f t="shared" si="9"/>
        <v>0.15000000000000002</v>
      </c>
      <c r="K44">
        <f t="shared" si="7"/>
        <v>472.95699999999994</v>
      </c>
    </row>
    <row r="45" spans="1:13" ht="15.75" hidden="1" thickBot="1" x14ac:dyDescent="0.3">
      <c r="A45" s="2" t="s">
        <v>57</v>
      </c>
      <c r="B45" s="2" t="s">
        <v>23</v>
      </c>
      <c r="C45" s="2" t="s">
        <v>34</v>
      </c>
      <c r="D45" s="2" t="s">
        <v>12</v>
      </c>
      <c r="E45" s="3">
        <v>840.85</v>
      </c>
      <c r="F45" s="3">
        <v>19</v>
      </c>
      <c r="G45" s="3">
        <v>0.1</v>
      </c>
      <c r="H45" s="4">
        <v>45448</v>
      </c>
      <c r="I45" s="3">
        <v>302.70999999999998</v>
      </c>
      <c r="J45">
        <f t="shared" si="9"/>
        <v>9.9999999999999992E-2</v>
      </c>
      <c r="K45">
        <f t="shared" si="7"/>
        <v>756.76499999999999</v>
      </c>
    </row>
    <row r="46" spans="1:13" ht="15.75" thickBot="1" x14ac:dyDescent="0.3">
      <c r="A46" s="2" t="s">
        <v>30</v>
      </c>
      <c r="B46" s="2" t="s">
        <v>61</v>
      </c>
      <c r="C46" s="2" t="s">
        <v>24</v>
      </c>
      <c r="D46" s="2" t="s">
        <v>27</v>
      </c>
      <c r="E46" s="3">
        <v>1227.25</v>
      </c>
      <c r="F46" s="3">
        <v>12</v>
      </c>
      <c r="G46" s="3">
        <v>0.15</v>
      </c>
      <c r="H46" s="4">
        <v>45448</v>
      </c>
      <c r="I46" s="3">
        <v>365.11</v>
      </c>
      <c r="J46">
        <f t="shared" si="9"/>
        <v>0.05</v>
      </c>
      <c r="K46">
        <f>I40+E40*(G40-J40)</f>
        <v>345.95350000000002</v>
      </c>
      <c r="L46">
        <f>SUM(I40:I239)</f>
        <v>56348.989999999983</v>
      </c>
    </row>
    <row r="47" spans="1:13" ht="15.75" hidden="1" thickBot="1" x14ac:dyDescent="0.3">
      <c r="A47" s="2" t="s">
        <v>16</v>
      </c>
      <c r="B47" s="2" t="s">
        <v>62</v>
      </c>
      <c r="C47" s="2" t="s">
        <v>34</v>
      </c>
      <c r="D47" s="2" t="s">
        <v>21</v>
      </c>
      <c r="E47" s="3">
        <v>856.7</v>
      </c>
      <c r="F47" s="3">
        <v>2</v>
      </c>
      <c r="G47" s="3">
        <v>0</v>
      </c>
      <c r="H47" s="4">
        <v>45449</v>
      </c>
      <c r="I47" s="3">
        <v>214.18</v>
      </c>
      <c r="J47">
        <f t="shared" si="9"/>
        <v>9.9999999999999992E-2</v>
      </c>
      <c r="K47">
        <f t="shared" si="7"/>
        <v>771.03000000000009</v>
      </c>
    </row>
    <row r="48" spans="1:13" ht="15.75" thickBot="1" x14ac:dyDescent="0.3">
      <c r="A48" s="2" t="s">
        <v>54</v>
      </c>
      <c r="B48" s="2" t="s">
        <v>56</v>
      </c>
      <c r="C48" s="2" t="s">
        <v>34</v>
      </c>
      <c r="D48" s="2" t="s">
        <v>39</v>
      </c>
      <c r="E48" s="3">
        <v>1225.42</v>
      </c>
      <c r="F48" s="3">
        <v>8</v>
      </c>
      <c r="G48" s="3">
        <v>0.15</v>
      </c>
      <c r="H48" s="4">
        <v>45449</v>
      </c>
      <c r="I48" s="3">
        <v>468.72</v>
      </c>
      <c r="J48">
        <f t="shared" si="9"/>
        <v>0</v>
      </c>
      <c r="K48">
        <f>I42+E42*(G42-J42)</f>
        <v>414.44</v>
      </c>
      <c r="L48">
        <f>SUM(I42:I241)</f>
        <v>55921.64999999998</v>
      </c>
    </row>
    <row r="49" spans="1:12" ht="15.75" hidden="1" thickBot="1" x14ac:dyDescent="0.3">
      <c r="A49" s="2" t="s">
        <v>63</v>
      </c>
      <c r="B49" s="2" t="s">
        <v>31</v>
      </c>
      <c r="C49" s="2" t="s">
        <v>24</v>
      </c>
      <c r="D49" s="2" t="s">
        <v>39</v>
      </c>
      <c r="E49" s="3">
        <v>1001.57</v>
      </c>
      <c r="F49" s="3">
        <v>12</v>
      </c>
      <c r="G49" s="3">
        <v>0</v>
      </c>
      <c r="H49" s="4">
        <v>45450</v>
      </c>
      <c r="I49" s="3">
        <v>450.71</v>
      </c>
      <c r="J49">
        <f t="shared" si="9"/>
        <v>9.9999999999999992E-2</v>
      </c>
      <c r="K49">
        <f t="shared" si="7"/>
        <v>901.41300000000001</v>
      </c>
    </row>
    <row r="50" spans="1:12" ht="15.75" hidden="1" thickBot="1" x14ac:dyDescent="0.3">
      <c r="A50" s="2" t="s">
        <v>57</v>
      </c>
      <c r="B50" s="2" t="s">
        <v>26</v>
      </c>
      <c r="C50" s="2" t="s">
        <v>18</v>
      </c>
      <c r="D50" s="2" t="s">
        <v>27</v>
      </c>
      <c r="E50" s="3">
        <v>1186.8499999999999</v>
      </c>
      <c r="F50" s="3">
        <v>19</v>
      </c>
      <c r="G50" s="3">
        <v>0.2</v>
      </c>
      <c r="H50" s="4">
        <v>45451</v>
      </c>
      <c r="I50" s="3">
        <v>332.32</v>
      </c>
      <c r="J50">
        <f t="shared" si="9"/>
        <v>0</v>
      </c>
      <c r="K50">
        <f t="shared" si="7"/>
        <v>1186.8499999999999</v>
      </c>
    </row>
    <row r="51" spans="1:12" ht="15.75" hidden="1" thickBot="1" x14ac:dyDescent="0.3">
      <c r="A51" s="2" t="s">
        <v>44</v>
      </c>
      <c r="B51" s="2" t="s">
        <v>51</v>
      </c>
      <c r="C51" s="2" t="s">
        <v>20</v>
      </c>
      <c r="D51" s="2" t="s">
        <v>21</v>
      </c>
      <c r="E51" s="3">
        <v>775.45</v>
      </c>
      <c r="F51" s="3">
        <v>6</v>
      </c>
      <c r="G51" s="3">
        <v>0.1</v>
      </c>
      <c r="H51" s="4">
        <v>45457</v>
      </c>
      <c r="I51" s="3">
        <v>174.48</v>
      </c>
      <c r="J51">
        <f t="shared" si="9"/>
        <v>0.15000000000000002</v>
      </c>
      <c r="K51">
        <f t="shared" si="7"/>
        <v>659.13250000000005</v>
      </c>
    </row>
    <row r="52" spans="1:12" ht="15.75" hidden="1" thickBot="1" x14ac:dyDescent="0.3">
      <c r="A52" s="2" t="s">
        <v>25</v>
      </c>
      <c r="B52" s="2" t="s">
        <v>33</v>
      </c>
      <c r="C52" s="2" t="s">
        <v>20</v>
      </c>
      <c r="D52" s="2" t="s">
        <v>21</v>
      </c>
      <c r="E52" s="3">
        <v>1021.47</v>
      </c>
      <c r="F52" s="3">
        <v>6</v>
      </c>
      <c r="G52" s="3">
        <v>0.05</v>
      </c>
      <c r="H52" s="4">
        <v>45461</v>
      </c>
      <c r="I52" s="3">
        <v>242.6</v>
      </c>
      <c r="J52">
        <f t="shared" si="9"/>
        <v>0.05</v>
      </c>
      <c r="K52">
        <f t="shared" si="7"/>
        <v>970.39649999999995</v>
      </c>
    </row>
    <row r="53" spans="1:12" ht="15.75" thickBot="1" x14ac:dyDescent="0.3">
      <c r="A53" s="2" t="s">
        <v>58</v>
      </c>
      <c r="B53" s="2" t="s">
        <v>23</v>
      </c>
      <c r="C53" s="2" t="s">
        <v>20</v>
      </c>
      <c r="D53" s="2" t="s">
        <v>15</v>
      </c>
      <c r="E53" s="3">
        <v>1226.6199999999999</v>
      </c>
      <c r="F53" s="3">
        <v>7</v>
      </c>
      <c r="G53" s="3">
        <v>0.1</v>
      </c>
      <c r="H53" s="4">
        <v>45463</v>
      </c>
      <c r="I53" s="3">
        <v>551.98</v>
      </c>
      <c r="J53">
        <f t="shared" si="9"/>
        <v>0</v>
      </c>
      <c r="K53">
        <f>I47+E47*(G47-J47)</f>
        <v>128.51</v>
      </c>
      <c r="L53">
        <f>SUM(I47:I246)</f>
        <v>54257.209999999977</v>
      </c>
    </row>
    <row r="54" spans="1:12" ht="15.75" hidden="1" thickBot="1" x14ac:dyDescent="0.3">
      <c r="A54" s="2" t="s">
        <v>22</v>
      </c>
      <c r="B54" s="2" t="s">
        <v>64</v>
      </c>
      <c r="C54" s="2" t="s">
        <v>20</v>
      </c>
      <c r="D54" s="2" t="s">
        <v>27</v>
      </c>
      <c r="E54" s="3">
        <v>1086.93</v>
      </c>
      <c r="F54" s="3">
        <v>2</v>
      </c>
      <c r="G54" s="3">
        <v>0</v>
      </c>
      <c r="H54" s="4">
        <v>45464</v>
      </c>
      <c r="I54" s="3">
        <v>380.43</v>
      </c>
      <c r="J54">
        <f t="shared" si="9"/>
        <v>0.05</v>
      </c>
      <c r="K54">
        <f t="shared" si="7"/>
        <v>1032.5835</v>
      </c>
    </row>
    <row r="55" spans="1:12" ht="15.75" hidden="1" thickBot="1" x14ac:dyDescent="0.3">
      <c r="A55" s="2" t="s">
        <v>65</v>
      </c>
      <c r="B55" s="2" t="s">
        <v>48</v>
      </c>
      <c r="C55" s="2" t="s">
        <v>11</v>
      </c>
      <c r="D55" s="2" t="s">
        <v>12</v>
      </c>
      <c r="E55" s="3">
        <v>942.9</v>
      </c>
      <c r="F55" s="3">
        <v>18</v>
      </c>
      <c r="G55" s="3">
        <v>0.1</v>
      </c>
      <c r="H55" s="4">
        <v>45466</v>
      </c>
      <c r="I55" s="3">
        <v>339.44</v>
      </c>
      <c r="J55">
        <f t="shared" si="9"/>
        <v>0</v>
      </c>
      <c r="K55">
        <f t="shared" si="7"/>
        <v>942.9</v>
      </c>
    </row>
    <row r="56" spans="1:12" ht="15.75" hidden="1" thickBot="1" x14ac:dyDescent="0.3">
      <c r="A56" s="2" t="s">
        <v>32</v>
      </c>
      <c r="B56" s="2" t="s">
        <v>38</v>
      </c>
      <c r="C56" s="2" t="s">
        <v>24</v>
      </c>
      <c r="D56" s="2" t="s">
        <v>21</v>
      </c>
      <c r="E56" s="3">
        <v>818.8</v>
      </c>
      <c r="F56" s="3">
        <v>15</v>
      </c>
      <c r="G56" s="3">
        <v>0.15</v>
      </c>
      <c r="H56" s="4">
        <v>45468</v>
      </c>
      <c r="I56" s="3">
        <v>173.99</v>
      </c>
      <c r="J56">
        <f t="shared" si="9"/>
        <v>0.05</v>
      </c>
      <c r="K56">
        <f t="shared" si="7"/>
        <v>777.8599999999999</v>
      </c>
    </row>
    <row r="57" spans="1:12" ht="15.75" hidden="1" thickBot="1" x14ac:dyDescent="0.3">
      <c r="A57" s="2" t="s">
        <v>19</v>
      </c>
      <c r="B57" s="2" t="s">
        <v>14</v>
      </c>
      <c r="C57" s="2" t="s">
        <v>20</v>
      </c>
      <c r="D57" s="2" t="s">
        <v>27</v>
      </c>
      <c r="E57" s="3">
        <v>919.04</v>
      </c>
      <c r="F57" s="3">
        <v>10</v>
      </c>
      <c r="G57" s="3">
        <v>0.2</v>
      </c>
      <c r="H57" s="4">
        <v>45468</v>
      </c>
      <c r="I57" s="3">
        <v>257.33</v>
      </c>
      <c r="J57">
        <f t="shared" si="9"/>
        <v>9.9999999999999992E-2</v>
      </c>
      <c r="K57">
        <f t="shared" si="7"/>
        <v>827.13599999999997</v>
      </c>
    </row>
    <row r="58" spans="1:12" ht="15.75" hidden="1" thickBot="1" x14ac:dyDescent="0.3">
      <c r="A58" s="2" t="s">
        <v>22</v>
      </c>
      <c r="B58" s="2" t="s">
        <v>66</v>
      </c>
      <c r="C58" s="2" t="s">
        <v>34</v>
      </c>
      <c r="D58" s="2" t="s">
        <v>12</v>
      </c>
      <c r="E58" s="3">
        <v>973.26</v>
      </c>
      <c r="F58" s="3">
        <v>11</v>
      </c>
      <c r="G58" s="3">
        <v>0</v>
      </c>
      <c r="H58" s="4">
        <v>45470</v>
      </c>
      <c r="I58" s="3">
        <v>389.3</v>
      </c>
      <c r="J58">
        <f t="shared" si="9"/>
        <v>0.15000000000000002</v>
      </c>
      <c r="K58">
        <f t="shared" si="7"/>
        <v>827.27099999999996</v>
      </c>
    </row>
    <row r="59" spans="1:12" ht="15.75" hidden="1" thickBot="1" x14ac:dyDescent="0.3">
      <c r="A59" s="2" t="s">
        <v>41</v>
      </c>
      <c r="B59" s="2" t="s">
        <v>64</v>
      </c>
      <c r="C59" s="2" t="s">
        <v>24</v>
      </c>
      <c r="D59" s="2" t="s">
        <v>21</v>
      </c>
      <c r="E59" s="3">
        <v>741.61</v>
      </c>
      <c r="F59" s="3">
        <v>1</v>
      </c>
      <c r="G59" s="3">
        <v>0.2</v>
      </c>
      <c r="H59" s="4">
        <v>45471</v>
      </c>
      <c r="I59" s="3">
        <v>148.32</v>
      </c>
      <c r="J59">
        <f t="shared" si="9"/>
        <v>0</v>
      </c>
      <c r="K59">
        <f t="shared" si="7"/>
        <v>741.61</v>
      </c>
    </row>
    <row r="60" spans="1:12" ht="15.75" thickBot="1" x14ac:dyDescent="0.3">
      <c r="A60" s="2" t="s">
        <v>67</v>
      </c>
      <c r="B60" s="2" t="s">
        <v>38</v>
      </c>
      <c r="C60" s="2" t="s">
        <v>24</v>
      </c>
      <c r="D60" s="2" t="s">
        <v>12</v>
      </c>
      <c r="E60" s="3">
        <v>1248.82</v>
      </c>
      <c r="F60" s="3">
        <v>2</v>
      </c>
      <c r="G60" s="3">
        <v>0.1</v>
      </c>
      <c r="H60" s="4">
        <v>45473</v>
      </c>
      <c r="I60" s="3">
        <v>449.58</v>
      </c>
      <c r="J60">
        <f t="shared" si="9"/>
        <v>0.15000000000000002</v>
      </c>
      <c r="K60">
        <f t="shared" ref="K60:K62" si="10">I54+E54*(G54-J54)</f>
        <v>326.08350000000002</v>
      </c>
      <c r="L60">
        <f t="shared" ref="L60:L62" si="11">SUM(I54:I253)</f>
        <v>51822.219999999979</v>
      </c>
    </row>
    <row r="61" spans="1:12" ht="15.75" thickBot="1" x14ac:dyDescent="0.3">
      <c r="A61" s="2" t="s">
        <v>13</v>
      </c>
      <c r="B61" s="2" t="s">
        <v>59</v>
      </c>
      <c r="C61" s="2" t="s">
        <v>11</v>
      </c>
      <c r="D61" s="2" t="s">
        <v>15</v>
      </c>
      <c r="E61" s="3">
        <v>1360.36</v>
      </c>
      <c r="F61" s="3">
        <v>17</v>
      </c>
      <c r="G61" s="3">
        <v>0</v>
      </c>
      <c r="H61" s="4">
        <v>45473</v>
      </c>
      <c r="I61" s="3">
        <v>680.18</v>
      </c>
      <c r="J61">
        <f t="shared" si="9"/>
        <v>0.05</v>
      </c>
      <c r="K61">
        <f t="shared" si="10"/>
        <v>433.73</v>
      </c>
      <c r="L61">
        <f t="shared" si="11"/>
        <v>51441.789999999979</v>
      </c>
    </row>
    <row r="62" spans="1:12" ht="15.75" thickBot="1" x14ac:dyDescent="0.3">
      <c r="A62" s="2" t="s">
        <v>57</v>
      </c>
      <c r="B62" s="2" t="s">
        <v>31</v>
      </c>
      <c r="C62" s="2" t="s">
        <v>18</v>
      </c>
      <c r="D62" s="2" t="s">
        <v>12</v>
      </c>
      <c r="E62" s="3">
        <v>1383.3</v>
      </c>
      <c r="F62" s="3">
        <v>8</v>
      </c>
      <c r="G62" s="3">
        <v>0.1</v>
      </c>
      <c r="H62" s="4">
        <v>45478</v>
      </c>
      <c r="I62" s="3">
        <v>497.99</v>
      </c>
      <c r="J62">
        <f t="shared" si="9"/>
        <v>0</v>
      </c>
      <c r="K62">
        <f t="shared" si="10"/>
        <v>255.87</v>
      </c>
      <c r="L62">
        <f t="shared" si="11"/>
        <v>51102.349999999977</v>
      </c>
    </row>
    <row r="63" spans="1:12" ht="15.75" hidden="1" thickBot="1" x14ac:dyDescent="0.3">
      <c r="A63" s="2" t="s">
        <v>35</v>
      </c>
      <c r="B63" s="2" t="s">
        <v>55</v>
      </c>
      <c r="C63" s="2" t="s">
        <v>34</v>
      </c>
      <c r="D63" s="2" t="s">
        <v>39</v>
      </c>
      <c r="E63" s="3">
        <v>488.99</v>
      </c>
      <c r="F63" s="3">
        <v>9</v>
      </c>
      <c r="G63" s="3">
        <v>0</v>
      </c>
      <c r="H63" s="4">
        <v>45479</v>
      </c>
      <c r="I63" s="3">
        <v>220.05</v>
      </c>
      <c r="J63">
        <f t="shared" si="9"/>
        <v>0.05</v>
      </c>
      <c r="K63">
        <f t="shared" si="7"/>
        <v>464.54050000000001</v>
      </c>
    </row>
    <row r="64" spans="1:12" ht="15.75" hidden="1" thickBot="1" x14ac:dyDescent="0.3">
      <c r="A64" s="2" t="s">
        <v>30</v>
      </c>
      <c r="B64" s="2" t="s">
        <v>31</v>
      </c>
      <c r="C64" s="2" t="s">
        <v>18</v>
      </c>
      <c r="D64" s="2" t="s">
        <v>27</v>
      </c>
      <c r="E64" s="3">
        <v>933.71</v>
      </c>
      <c r="F64" s="3">
        <v>17</v>
      </c>
      <c r="G64" s="3">
        <v>0.1</v>
      </c>
      <c r="H64" s="4">
        <v>45481</v>
      </c>
      <c r="I64" s="3">
        <v>294.12</v>
      </c>
      <c r="J64">
        <f t="shared" si="9"/>
        <v>0</v>
      </c>
      <c r="K64">
        <f t="shared" si="7"/>
        <v>933.71</v>
      </c>
    </row>
    <row r="65" spans="1:12" ht="15.75" hidden="1" thickBot="1" x14ac:dyDescent="0.3">
      <c r="A65" s="2" t="s">
        <v>67</v>
      </c>
      <c r="B65" s="2" t="s">
        <v>10</v>
      </c>
      <c r="C65" s="2" t="s">
        <v>11</v>
      </c>
      <c r="D65" s="2" t="s">
        <v>21</v>
      </c>
      <c r="E65" s="3">
        <v>1005.53</v>
      </c>
      <c r="F65" s="3">
        <v>17</v>
      </c>
      <c r="G65" s="3">
        <v>0.2</v>
      </c>
      <c r="H65" s="4">
        <v>45481</v>
      </c>
      <c r="I65" s="3">
        <v>201.11</v>
      </c>
      <c r="J65">
        <f t="shared" si="9"/>
        <v>0.05</v>
      </c>
      <c r="K65">
        <f t="shared" si="7"/>
        <v>955.25349999999992</v>
      </c>
    </row>
    <row r="66" spans="1:12" ht="15.75" hidden="1" thickBot="1" x14ac:dyDescent="0.3">
      <c r="A66" s="2" t="s">
        <v>41</v>
      </c>
      <c r="B66" s="2" t="s">
        <v>61</v>
      </c>
      <c r="C66" s="2" t="s">
        <v>20</v>
      </c>
      <c r="D66" s="2" t="s">
        <v>21</v>
      </c>
      <c r="E66" s="3">
        <v>1100.0999999999999</v>
      </c>
      <c r="F66" s="3">
        <v>5</v>
      </c>
      <c r="G66" s="3">
        <v>0.05</v>
      </c>
      <c r="H66" s="4">
        <v>45482</v>
      </c>
      <c r="I66" s="3">
        <v>261.27</v>
      </c>
      <c r="J66">
        <f t="shared" si="9"/>
        <v>0.15000000000000002</v>
      </c>
      <c r="K66">
        <f t="shared" si="7"/>
        <v>935.08499999999992</v>
      </c>
    </row>
    <row r="67" spans="1:12" ht="15.75" hidden="1" thickBot="1" x14ac:dyDescent="0.3">
      <c r="A67" s="2" t="s">
        <v>67</v>
      </c>
      <c r="B67" s="2" t="s">
        <v>23</v>
      </c>
      <c r="C67" s="2" t="s">
        <v>24</v>
      </c>
      <c r="D67" s="2" t="s">
        <v>27</v>
      </c>
      <c r="E67" s="3">
        <v>1034.7</v>
      </c>
      <c r="F67" s="3">
        <v>15</v>
      </c>
      <c r="G67" s="3">
        <v>0.15</v>
      </c>
      <c r="H67" s="4">
        <v>45487</v>
      </c>
      <c r="I67" s="3">
        <v>307.82</v>
      </c>
      <c r="J67">
        <f t="shared" ref="J67:J99" si="12">MAX(0,G66-5%)</f>
        <v>0</v>
      </c>
      <c r="K67">
        <f t="shared" si="7"/>
        <v>1034.7</v>
      </c>
    </row>
    <row r="68" spans="1:12" ht="15.75" hidden="1" thickBot="1" x14ac:dyDescent="0.3">
      <c r="A68" s="2" t="s">
        <v>65</v>
      </c>
      <c r="B68" s="2" t="s">
        <v>31</v>
      </c>
      <c r="C68" s="2" t="s">
        <v>20</v>
      </c>
      <c r="D68" s="2" t="s">
        <v>12</v>
      </c>
      <c r="E68" s="3">
        <v>876.44</v>
      </c>
      <c r="F68" s="3">
        <v>12</v>
      </c>
      <c r="G68" s="3">
        <v>0.05</v>
      </c>
      <c r="H68" s="4">
        <v>45488</v>
      </c>
      <c r="I68" s="3">
        <v>333.05</v>
      </c>
      <c r="J68">
        <f t="shared" si="12"/>
        <v>9.9999999999999992E-2</v>
      </c>
      <c r="K68">
        <f t="shared" si="7"/>
        <v>788.79600000000005</v>
      </c>
    </row>
    <row r="69" spans="1:12" ht="15.75" thickBot="1" x14ac:dyDescent="0.3">
      <c r="A69" s="2" t="s">
        <v>68</v>
      </c>
      <c r="B69" s="2" t="s">
        <v>55</v>
      </c>
      <c r="C69" s="2" t="s">
        <v>11</v>
      </c>
      <c r="D69" s="2" t="s">
        <v>27</v>
      </c>
      <c r="E69" s="3">
        <v>1371.34</v>
      </c>
      <c r="F69" s="3">
        <v>5</v>
      </c>
      <c r="G69" s="3">
        <v>0.05</v>
      </c>
      <c r="H69" s="4">
        <v>45488</v>
      </c>
      <c r="I69" s="3">
        <v>455.97</v>
      </c>
      <c r="J69">
        <f t="shared" si="12"/>
        <v>0</v>
      </c>
      <c r="K69">
        <f>I63+E63*(G63-J63)</f>
        <v>195.60050000000001</v>
      </c>
      <c r="L69">
        <f>SUM(I63:I262)</f>
        <v>48505.659999999982</v>
      </c>
    </row>
    <row r="70" spans="1:12" ht="15.75" hidden="1" thickBot="1" x14ac:dyDescent="0.3">
      <c r="A70" s="2" t="s">
        <v>57</v>
      </c>
      <c r="B70" s="2" t="s">
        <v>47</v>
      </c>
      <c r="C70" s="2" t="s">
        <v>24</v>
      </c>
      <c r="D70" s="2" t="s">
        <v>21</v>
      </c>
      <c r="E70" s="3">
        <v>1020.26</v>
      </c>
      <c r="F70" s="3">
        <v>11</v>
      </c>
      <c r="G70" s="3">
        <v>0.05</v>
      </c>
      <c r="H70" s="4">
        <v>45494</v>
      </c>
      <c r="I70" s="3">
        <v>242.31</v>
      </c>
      <c r="J70">
        <f t="shared" si="12"/>
        <v>0</v>
      </c>
      <c r="K70">
        <f t="shared" si="7"/>
        <v>1020.26</v>
      </c>
    </row>
    <row r="71" spans="1:12" ht="15.75" hidden="1" thickBot="1" x14ac:dyDescent="0.3">
      <c r="A71" s="2" t="s">
        <v>44</v>
      </c>
      <c r="B71" s="2" t="s">
        <v>10</v>
      </c>
      <c r="C71" s="2" t="s">
        <v>34</v>
      </c>
      <c r="D71" s="2" t="s">
        <v>39</v>
      </c>
      <c r="E71" s="3">
        <v>804.81</v>
      </c>
      <c r="F71" s="3">
        <v>1</v>
      </c>
      <c r="G71" s="3">
        <v>0.05</v>
      </c>
      <c r="H71" s="4">
        <v>45502</v>
      </c>
      <c r="I71" s="3">
        <v>344.06</v>
      </c>
      <c r="J71">
        <f t="shared" si="12"/>
        <v>0</v>
      </c>
      <c r="K71">
        <f t="shared" si="7"/>
        <v>804.81</v>
      </c>
    </row>
    <row r="72" spans="1:12" ht="15.75" hidden="1" thickBot="1" x14ac:dyDescent="0.3">
      <c r="A72" s="2" t="s">
        <v>22</v>
      </c>
      <c r="B72" s="2" t="s">
        <v>55</v>
      </c>
      <c r="C72" s="2" t="s">
        <v>34</v>
      </c>
      <c r="D72" s="2" t="s">
        <v>21</v>
      </c>
      <c r="E72" s="3">
        <v>608.66</v>
      </c>
      <c r="F72" s="3">
        <v>1</v>
      </c>
      <c r="G72" s="3">
        <v>0.05</v>
      </c>
      <c r="H72" s="4">
        <v>45503</v>
      </c>
      <c r="I72" s="3">
        <v>144.56</v>
      </c>
      <c r="J72">
        <f t="shared" si="12"/>
        <v>0</v>
      </c>
      <c r="K72">
        <f t="shared" si="7"/>
        <v>608.66</v>
      </c>
    </row>
    <row r="73" spans="1:12" ht="15.75" hidden="1" thickBot="1" x14ac:dyDescent="0.3">
      <c r="A73" s="2" t="s">
        <v>68</v>
      </c>
      <c r="B73" s="2" t="s">
        <v>69</v>
      </c>
      <c r="C73" s="2" t="s">
        <v>20</v>
      </c>
      <c r="D73" s="2" t="s">
        <v>39</v>
      </c>
      <c r="E73" s="3">
        <v>981.2</v>
      </c>
      <c r="F73" s="3">
        <v>19</v>
      </c>
      <c r="G73" s="3">
        <v>0</v>
      </c>
      <c r="H73" s="4">
        <v>45504</v>
      </c>
      <c r="I73" s="3">
        <v>441.54</v>
      </c>
      <c r="J73">
        <f t="shared" si="12"/>
        <v>0</v>
      </c>
      <c r="K73">
        <f t="shared" si="7"/>
        <v>981.2</v>
      </c>
    </row>
    <row r="74" spans="1:12" ht="15.75" hidden="1" thickBot="1" x14ac:dyDescent="0.3">
      <c r="A74" s="2" t="s">
        <v>70</v>
      </c>
      <c r="B74" s="2" t="s">
        <v>55</v>
      </c>
      <c r="C74" s="2" t="s">
        <v>18</v>
      </c>
      <c r="D74" s="2" t="s">
        <v>21</v>
      </c>
      <c r="E74" s="3">
        <v>539.77</v>
      </c>
      <c r="F74" s="3">
        <v>10</v>
      </c>
      <c r="G74" s="3">
        <v>0.15</v>
      </c>
      <c r="H74" s="4">
        <v>45509</v>
      </c>
      <c r="I74" s="3">
        <v>114.7</v>
      </c>
      <c r="J74">
        <f t="shared" si="12"/>
        <v>0</v>
      </c>
      <c r="K74">
        <f t="shared" si="7"/>
        <v>539.77</v>
      </c>
    </row>
    <row r="75" spans="1:12" ht="15.75" hidden="1" thickBot="1" x14ac:dyDescent="0.3">
      <c r="A75" s="2" t="s">
        <v>13</v>
      </c>
      <c r="B75" s="2" t="s">
        <v>71</v>
      </c>
      <c r="C75" s="2" t="s">
        <v>20</v>
      </c>
      <c r="D75" s="2" t="s">
        <v>12</v>
      </c>
      <c r="E75" s="3">
        <v>804.45</v>
      </c>
      <c r="F75" s="3">
        <v>5</v>
      </c>
      <c r="G75" s="3">
        <v>0.2</v>
      </c>
      <c r="H75" s="4">
        <v>45509</v>
      </c>
      <c r="I75" s="3">
        <v>257.42</v>
      </c>
      <c r="J75">
        <f t="shared" si="12"/>
        <v>9.9999999999999992E-2</v>
      </c>
      <c r="K75">
        <f t="shared" si="7"/>
        <v>724.00500000000011</v>
      </c>
    </row>
    <row r="76" spans="1:12" ht="15.75" thickBot="1" x14ac:dyDescent="0.3">
      <c r="A76" s="2" t="s">
        <v>70</v>
      </c>
      <c r="B76" s="2" t="s">
        <v>38</v>
      </c>
      <c r="C76" s="2" t="s">
        <v>11</v>
      </c>
      <c r="D76" s="2" t="s">
        <v>21</v>
      </c>
      <c r="E76" s="3">
        <v>1526.6</v>
      </c>
      <c r="F76" s="3">
        <v>13</v>
      </c>
      <c r="G76" s="3">
        <v>0.2</v>
      </c>
      <c r="H76" s="4">
        <v>45512</v>
      </c>
      <c r="I76" s="3">
        <v>305.32</v>
      </c>
      <c r="J76">
        <f t="shared" si="12"/>
        <v>0.15000000000000002</v>
      </c>
      <c r="K76">
        <f t="shared" ref="K76:K78" si="13">I70+E70*(G70-J70)</f>
        <v>293.32299999999998</v>
      </c>
      <c r="L76">
        <f t="shared" ref="L76:L78" si="14">SUM(I70:I269)</f>
        <v>46432.26999999999</v>
      </c>
    </row>
    <row r="77" spans="1:12" ht="15.75" thickBot="1" x14ac:dyDescent="0.3">
      <c r="A77" s="2" t="s">
        <v>13</v>
      </c>
      <c r="B77" s="2" t="s">
        <v>29</v>
      </c>
      <c r="C77" s="2" t="s">
        <v>11</v>
      </c>
      <c r="D77" s="2" t="s">
        <v>21</v>
      </c>
      <c r="E77" s="3">
        <v>1215.26</v>
      </c>
      <c r="F77" s="3">
        <v>5</v>
      </c>
      <c r="G77" s="3">
        <v>0.15</v>
      </c>
      <c r="H77" s="4">
        <v>45513</v>
      </c>
      <c r="I77" s="3">
        <v>258.24</v>
      </c>
      <c r="J77">
        <f t="shared" si="12"/>
        <v>0.15000000000000002</v>
      </c>
      <c r="K77">
        <f t="shared" si="13"/>
        <v>384.3005</v>
      </c>
      <c r="L77">
        <f t="shared" si="14"/>
        <v>46189.959999999992</v>
      </c>
    </row>
    <row r="78" spans="1:12" ht="15.75" thickBot="1" x14ac:dyDescent="0.3">
      <c r="A78" s="2" t="s">
        <v>19</v>
      </c>
      <c r="B78" s="2" t="s">
        <v>53</v>
      </c>
      <c r="C78" s="2" t="s">
        <v>34</v>
      </c>
      <c r="D78" s="2" t="s">
        <v>27</v>
      </c>
      <c r="E78" s="3">
        <v>1261.3399999999999</v>
      </c>
      <c r="F78" s="3">
        <v>3</v>
      </c>
      <c r="G78" s="3">
        <v>0</v>
      </c>
      <c r="H78" s="4">
        <v>45519</v>
      </c>
      <c r="I78" s="3">
        <v>441.47</v>
      </c>
      <c r="J78">
        <f t="shared" si="12"/>
        <v>9.9999999999999992E-2</v>
      </c>
      <c r="K78">
        <f t="shared" si="13"/>
        <v>174.99299999999999</v>
      </c>
      <c r="L78">
        <f t="shared" si="14"/>
        <v>45845.899999999994</v>
      </c>
    </row>
    <row r="79" spans="1:12" ht="15.75" hidden="1" thickBot="1" x14ac:dyDescent="0.3">
      <c r="A79" s="2" t="s">
        <v>72</v>
      </c>
      <c r="B79" s="2" t="s">
        <v>45</v>
      </c>
      <c r="C79" s="2" t="s">
        <v>24</v>
      </c>
      <c r="D79" s="2" t="s">
        <v>27</v>
      </c>
      <c r="E79" s="3">
        <v>518.07000000000005</v>
      </c>
      <c r="F79" s="3">
        <v>7</v>
      </c>
      <c r="G79" s="3">
        <v>0.05</v>
      </c>
      <c r="H79" s="4">
        <v>45522</v>
      </c>
      <c r="I79" s="3">
        <v>172.26</v>
      </c>
      <c r="J79">
        <f t="shared" si="12"/>
        <v>0</v>
      </c>
      <c r="K79">
        <f t="shared" si="7"/>
        <v>518.07000000000005</v>
      </c>
    </row>
    <row r="80" spans="1:12" ht="15.75" hidden="1" thickBot="1" x14ac:dyDescent="0.3">
      <c r="A80" s="2" t="s">
        <v>30</v>
      </c>
      <c r="B80" s="2" t="s">
        <v>29</v>
      </c>
      <c r="C80" s="2" t="s">
        <v>11</v>
      </c>
      <c r="D80" s="2" t="s">
        <v>39</v>
      </c>
      <c r="E80" s="3">
        <v>1111.3399999999999</v>
      </c>
      <c r="F80" s="3">
        <v>1</v>
      </c>
      <c r="G80" s="3">
        <v>0</v>
      </c>
      <c r="H80" s="4">
        <v>45523</v>
      </c>
      <c r="I80" s="3">
        <v>500.1</v>
      </c>
      <c r="J80">
        <f t="shared" si="12"/>
        <v>0</v>
      </c>
      <c r="K80">
        <f t="shared" si="7"/>
        <v>1111.3399999999999</v>
      </c>
    </row>
    <row r="81" spans="1:12" ht="15.75" thickBot="1" x14ac:dyDescent="0.3">
      <c r="A81" s="2" t="s">
        <v>22</v>
      </c>
      <c r="B81" s="2" t="s">
        <v>31</v>
      </c>
      <c r="C81" s="2" t="s">
        <v>18</v>
      </c>
      <c r="D81" s="2" t="s">
        <v>15</v>
      </c>
      <c r="E81" s="3">
        <v>1291.47</v>
      </c>
      <c r="F81" s="3">
        <v>18</v>
      </c>
      <c r="G81" s="3">
        <v>0.1</v>
      </c>
      <c r="H81" s="4">
        <v>45526</v>
      </c>
      <c r="I81" s="3">
        <v>581.16</v>
      </c>
      <c r="J81">
        <f t="shared" si="12"/>
        <v>0</v>
      </c>
      <c r="K81">
        <f>I75+E75*(G75-J75)</f>
        <v>337.86500000000001</v>
      </c>
      <c r="L81">
        <f>SUM(I75:I274)</f>
        <v>45145.099999999991</v>
      </c>
    </row>
    <row r="82" spans="1:12" ht="15.75" hidden="1" thickBot="1" x14ac:dyDescent="0.3">
      <c r="A82" s="2" t="s">
        <v>25</v>
      </c>
      <c r="B82" s="2" t="s">
        <v>55</v>
      </c>
      <c r="C82" s="2" t="s">
        <v>24</v>
      </c>
      <c r="D82" s="2" t="s">
        <v>12</v>
      </c>
      <c r="E82" s="3">
        <v>679.71</v>
      </c>
      <c r="F82" s="3">
        <v>19</v>
      </c>
      <c r="G82" s="3">
        <v>0</v>
      </c>
      <c r="H82" s="4">
        <v>45534</v>
      </c>
      <c r="I82" s="3">
        <v>271.88</v>
      </c>
      <c r="J82">
        <f t="shared" si="12"/>
        <v>0.05</v>
      </c>
      <c r="K82">
        <f t="shared" si="7"/>
        <v>645.72450000000003</v>
      </c>
    </row>
    <row r="83" spans="1:12" ht="15.75" hidden="1" thickBot="1" x14ac:dyDescent="0.3">
      <c r="A83" s="2" t="s">
        <v>68</v>
      </c>
      <c r="B83" s="2" t="s">
        <v>33</v>
      </c>
      <c r="C83" s="2" t="s">
        <v>18</v>
      </c>
      <c r="D83" s="2" t="s">
        <v>27</v>
      </c>
      <c r="E83" s="3">
        <v>1143.69</v>
      </c>
      <c r="F83" s="3">
        <v>17</v>
      </c>
      <c r="G83" s="3">
        <v>0</v>
      </c>
      <c r="H83" s="4">
        <v>45534</v>
      </c>
      <c r="I83" s="3">
        <v>400.29</v>
      </c>
      <c r="J83">
        <f t="shared" si="12"/>
        <v>0</v>
      </c>
      <c r="K83">
        <f t="shared" si="7"/>
        <v>1143.69</v>
      </c>
    </row>
    <row r="84" spans="1:12" ht="15.75" hidden="1" thickBot="1" x14ac:dyDescent="0.3">
      <c r="A84" s="2" t="s">
        <v>52</v>
      </c>
      <c r="B84" s="2" t="s">
        <v>50</v>
      </c>
      <c r="C84" s="2" t="s">
        <v>34</v>
      </c>
      <c r="D84" s="2" t="s">
        <v>21</v>
      </c>
      <c r="E84" s="3">
        <v>790.08</v>
      </c>
      <c r="F84" s="3">
        <v>7</v>
      </c>
      <c r="G84" s="3">
        <v>0.1</v>
      </c>
      <c r="H84" s="4">
        <v>45536</v>
      </c>
      <c r="I84" s="3">
        <v>177.77</v>
      </c>
      <c r="J84">
        <f t="shared" si="12"/>
        <v>0</v>
      </c>
      <c r="K84">
        <f t="shared" si="7"/>
        <v>790.08</v>
      </c>
    </row>
    <row r="85" spans="1:12" ht="15.75" hidden="1" thickBot="1" x14ac:dyDescent="0.3">
      <c r="A85" s="2" t="s">
        <v>19</v>
      </c>
      <c r="B85" s="2" t="s">
        <v>48</v>
      </c>
      <c r="C85" s="2" t="s">
        <v>34</v>
      </c>
      <c r="D85" s="2" t="s">
        <v>12</v>
      </c>
      <c r="E85" s="3">
        <v>1070.68</v>
      </c>
      <c r="F85" s="3">
        <v>7</v>
      </c>
      <c r="G85" s="3">
        <v>0.05</v>
      </c>
      <c r="H85" s="4">
        <v>45536</v>
      </c>
      <c r="I85" s="3">
        <v>406.86</v>
      </c>
      <c r="J85">
        <f t="shared" si="12"/>
        <v>0.05</v>
      </c>
      <c r="K85">
        <f t="shared" si="7"/>
        <v>1017.146</v>
      </c>
    </row>
    <row r="86" spans="1:12" ht="15.75" hidden="1" thickBot="1" x14ac:dyDescent="0.3">
      <c r="A86" s="2" t="s">
        <v>58</v>
      </c>
      <c r="B86" s="2" t="s">
        <v>36</v>
      </c>
      <c r="C86" s="2" t="s">
        <v>11</v>
      </c>
      <c r="D86" s="2" t="s">
        <v>15</v>
      </c>
      <c r="E86" s="3">
        <v>1168.8900000000001</v>
      </c>
      <c r="F86" s="3">
        <v>4</v>
      </c>
      <c r="G86" s="3">
        <v>0.1</v>
      </c>
      <c r="H86" s="4">
        <v>45544</v>
      </c>
      <c r="I86" s="3">
        <v>526</v>
      </c>
      <c r="J86">
        <f t="shared" si="12"/>
        <v>0</v>
      </c>
      <c r="K86">
        <f t="shared" si="7"/>
        <v>1168.8900000000001</v>
      </c>
    </row>
    <row r="87" spans="1:12" ht="15.75" thickBot="1" x14ac:dyDescent="0.3">
      <c r="A87" s="2" t="s">
        <v>67</v>
      </c>
      <c r="B87" s="2" t="s">
        <v>10</v>
      </c>
      <c r="C87" s="2" t="s">
        <v>20</v>
      </c>
      <c r="D87" s="2" t="s">
        <v>21</v>
      </c>
      <c r="E87" s="3">
        <v>1335.87</v>
      </c>
      <c r="F87" s="3">
        <v>17</v>
      </c>
      <c r="G87" s="3">
        <v>0</v>
      </c>
      <c r="H87" s="4">
        <v>45544</v>
      </c>
      <c r="I87" s="3">
        <v>333.97</v>
      </c>
      <c r="J87">
        <f t="shared" si="12"/>
        <v>0.05</v>
      </c>
      <c r="K87">
        <f>I81+E81*(G81-J81)</f>
        <v>710.30700000000002</v>
      </c>
      <c r="L87">
        <f>SUM(I81:I280)</f>
        <v>43210.289999999994</v>
      </c>
    </row>
    <row r="88" spans="1:12" ht="15.75" hidden="1" thickBot="1" x14ac:dyDescent="0.3">
      <c r="A88" s="2" t="s">
        <v>40</v>
      </c>
      <c r="B88" s="2" t="s">
        <v>55</v>
      </c>
      <c r="C88" s="2" t="s">
        <v>18</v>
      </c>
      <c r="D88" s="2" t="s">
        <v>27</v>
      </c>
      <c r="E88" s="3">
        <v>873.7</v>
      </c>
      <c r="F88" s="3">
        <v>9</v>
      </c>
      <c r="G88" s="3">
        <v>0</v>
      </c>
      <c r="H88" s="4">
        <v>45546</v>
      </c>
      <c r="I88" s="3">
        <v>305.8</v>
      </c>
      <c r="J88">
        <f t="shared" si="12"/>
        <v>0</v>
      </c>
      <c r="K88">
        <f t="shared" si="7"/>
        <v>873.7</v>
      </c>
    </row>
    <row r="89" spans="1:12" ht="15.75" thickBot="1" x14ac:dyDescent="0.3">
      <c r="A89" s="2" t="s">
        <v>72</v>
      </c>
      <c r="B89" s="2" t="s">
        <v>64</v>
      </c>
      <c r="C89" s="2" t="s">
        <v>11</v>
      </c>
      <c r="D89" s="2" t="s">
        <v>39</v>
      </c>
      <c r="E89" s="3">
        <v>1443.98</v>
      </c>
      <c r="F89" s="3">
        <v>19</v>
      </c>
      <c r="G89" s="3">
        <v>0</v>
      </c>
      <c r="H89" s="4">
        <v>45547</v>
      </c>
      <c r="I89" s="3">
        <v>649.79</v>
      </c>
      <c r="J89">
        <f t="shared" si="12"/>
        <v>0</v>
      </c>
      <c r="K89">
        <f>I83+E83*(G83-J83)</f>
        <v>400.29</v>
      </c>
      <c r="L89">
        <f>SUM(I83:I282)</f>
        <v>42357.249999999993</v>
      </c>
    </row>
    <row r="90" spans="1:12" ht="15.75" hidden="1" thickBot="1" x14ac:dyDescent="0.3">
      <c r="A90" s="2" t="s">
        <v>40</v>
      </c>
      <c r="B90" s="2" t="s">
        <v>23</v>
      </c>
      <c r="C90" s="2" t="s">
        <v>18</v>
      </c>
      <c r="D90" s="2" t="s">
        <v>39</v>
      </c>
      <c r="E90" s="3">
        <v>1154.33</v>
      </c>
      <c r="F90" s="3">
        <v>11</v>
      </c>
      <c r="G90" s="3">
        <v>0.15</v>
      </c>
      <c r="H90" s="4">
        <v>45549</v>
      </c>
      <c r="I90" s="3">
        <v>441.53</v>
      </c>
      <c r="J90">
        <f t="shared" si="12"/>
        <v>0</v>
      </c>
      <c r="K90">
        <f t="shared" si="7"/>
        <v>1154.33</v>
      </c>
    </row>
    <row r="91" spans="1:12" ht="15.75" thickBot="1" x14ac:dyDescent="0.3">
      <c r="A91" s="2" t="s">
        <v>49</v>
      </c>
      <c r="B91" s="2" t="s">
        <v>50</v>
      </c>
      <c r="C91" s="2" t="s">
        <v>20</v>
      </c>
      <c r="D91" s="2" t="s">
        <v>12</v>
      </c>
      <c r="E91" s="3">
        <v>1264.49</v>
      </c>
      <c r="F91" s="3">
        <v>16</v>
      </c>
      <c r="G91" s="3">
        <v>0.05</v>
      </c>
      <c r="H91" s="4">
        <v>45549</v>
      </c>
      <c r="I91" s="3">
        <v>480.51</v>
      </c>
      <c r="J91">
        <f t="shared" si="12"/>
        <v>9.9999999999999992E-2</v>
      </c>
      <c r="K91">
        <f>I85+E85*(G85-J85)</f>
        <v>406.86</v>
      </c>
      <c r="L91">
        <f>SUM(I85:I284)</f>
        <v>41779.189999999995</v>
      </c>
    </row>
    <row r="92" spans="1:12" ht="15.75" hidden="1" thickBot="1" x14ac:dyDescent="0.3">
      <c r="A92" s="2" t="s">
        <v>25</v>
      </c>
      <c r="B92" s="2" t="s">
        <v>66</v>
      </c>
      <c r="C92" s="2" t="s">
        <v>11</v>
      </c>
      <c r="D92" s="2" t="s">
        <v>27</v>
      </c>
      <c r="E92" s="3">
        <v>1101.55</v>
      </c>
      <c r="F92" s="3">
        <v>4</v>
      </c>
      <c r="G92" s="3">
        <v>0.1</v>
      </c>
      <c r="H92" s="4">
        <v>45551</v>
      </c>
      <c r="I92" s="3">
        <v>346.99</v>
      </c>
      <c r="J92">
        <f t="shared" si="12"/>
        <v>0</v>
      </c>
      <c r="K92">
        <f t="shared" si="7"/>
        <v>1101.55</v>
      </c>
    </row>
    <row r="93" spans="1:12" ht="15.75" hidden="1" thickBot="1" x14ac:dyDescent="0.3">
      <c r="A93" s="2" t="s">
        <v>73</v>
      </c>
      <c r="B93" s="2" t="s">
        <v>14</v>
      </c>
      <c r="C93" s="2" t="s">
        <v>20</v>
      </c>
      <c r="D93" s="2" t="s">
        <v>27</v>
      </c>
      <c r="E93" s="3">
        <v>727.73</v>
      </c>
      <c r="F93" s="3">
        <v>1</v>
      </c>
      <c r="G93" s="3">
        <v>0.1</v>
      </c>
      <c r="H93" s="4">
        <v>45552</v>
      </c>
      <c r="I93" s="3">
        <v>229.23</v>
      </c>
      <c r="J93">
        <f t="shared" si="12"/>
        <v>0.05</v>
      </c>
      <c r="K93">
        <f t="shared" si="7"/>
        <v>691.34349999999995</v>
      </c>
    </row>
    <row r="94" spans="1:12" ht="15.75" hidden="1" thickBot="1" x14ac:dyDescent="0.3">
      <c r="A94" s="2" t="s">
        <v>74</v>
      </c>
      <c r="B94" s="2" t="s">
        <v>38</v>
      </c>
      <c r="C94" s="2" t="s">
        <v>18</v>
      </c>
      <c r="D94" s="2" t="s">
        <v>39</v>
      </c>
      <c r="E94" s="3">
        <v>875.41</v>
      </c>
      <c r="F94" s="3">
        <v>13</v>
      </c>
      <c r="G94" s="3">
        <v>0.15</v>
      </c>
      <c r="H94" s="4">
        <v>45552</v>
      </c>
      <c r="I94" s="3">
        <v>334.84</v>
      </c>
      <c r="J94">
        <f t="shared" si="12"/>
        <v>0.05</v>
      </c>
      <c r="K94">
        <f t="shared" si="7"/>
        <v>831.63949999999988</v>
      </c>
    </row>
    <row r="95" spans="1:12" ht="15.75" hidden="1" thickBot="1" x14ac:dyDescent="0.3">
      <c r="A95" s="2" t="s">
        <v>67</v>
      </c>
      <c r="B95" s="2" t="s">
        <v>23</v>
      </c>
      <c r="C95" s="2" t="s">
        <v>11</v>
      </c>
      <c r="D95" s="2" t="s">
        <v>21</v>
      </c>
      <c r="E95" s="3">
        <v>1158.94</v>
      </c>
      <c r="F95" s="3">
        <v>19</v>
      </c>
      <c r="G95" s="3">
        <v>0.2</v>
      </c>
      <c r="H95" s="4">
        <v>45553</v>
      </c>
      <c r="I95" s="3">
        <v>231.79</v>
      </c>
      <c r="J95">
        <f t="shared" si="12"/>
        <v>9.9999999999999992E-2</v>
      </c>
      <c r="K95">
        <f t="shared" ref="K95:K158" si="15">E95*(1-J95)</f>
        <v>1043.046</v>
      </c>
    </row>
    <row r="96" spans="1:12" ht="15.75" hidden="1" thickBot="1" x14ac:dyDescent="0.3">
      <c r="A96" s="2" t="s">
        <v>75</v>
      </c>
      <c r="B96" s="2" t="s">
        <v>47</v>
      </c>
      <c r="C96" s="2" t="s">
        <v>20</v>
      </c>
      <c r="D96" s="2" t="s">
        <v>12</v>
      </c>
      <c r="E96" s="3">
        <v>966.3</v>
      </c>
      <c r="F96" s="3">
        <v>2</v>
      </c>
      <c r="G96" s="3">
        <v>0.15</v>
      </c>
      <c r="H96" s="4">
        <v>45557</v>
      </c>
      <c r="I96" s="3">
        <v>328.54</v>
      </c>
      <c r="J96">
        <f t="shared" si="12"/>
        <v>0.15000000000000002</v>
      </c>
      <c r="K96">
        <f t="shared" si="15"/>
        <v>821.3549999999999</v>
      </c>
    </row>
    <row r="97" spans="1:12" ht="15.75" hidden="1" thickBot="1" x14ac:dyDescent="0.3">
      <c r="A97" s="2" t="s">
        <v>68</v>
      </c>
      <c r="B97" s="2" t="s">
        <v>17</v>
      </c>
      <c r="C97" s="2" t="s">
        <v>20</v>
      </c>
      <c r="D97" s="2" t="s">
        <v>12</v>
      </c>
      <c r="E97" s="3">
        <v>917.48</v>
      </c>
      <c r="F97" s="3">
        <v>6</v>
      </c>
      <c r="G97" s="3">
        <v>0</v>
      </c>
      <c r="H97" s="4">
        <v>45558</v>
      </c>
      <c r="I97" s="3">
        <v>366.99</v>
      </c>
      <c r="J97">
        <f t="shared" si="12"/>
        <v>9.9999999999999992E-2</v>
      </c>
      <c r="K97">
        <f t="shared" si="15"/>
        <v>825.73200000000008</v>
      </c>
    </row>
    <row r="98" spans="1:12" ht="15.75" hidden="1" thickBot="1" x14ac:dyDescent="0.3">
      <c r="A98" s="2" t="s">
        <v>41</v>
      </c>
      <c r="B98" s="2" t="s">
        <v>61</v>
      </c>
      <c r="C98" s="2" t="s">
        <v>11</v>
      </c>
      <c r="D98" s="2" t="s">
        <v>27</v>
      </c>
      <c r="E98" s="3">
        <v>1172.97</v>
      </c>
      <c r="F98" s="3">
        <v>7</v>
      </c>
      <c r="G98" s="3">
        <v>0.15</v>
      </c>
      <c r="H98" s="4">
        <v>45559</v>
      </c>
      <c r="I98" s="3">
        <v>348.96</v>
      </c>
      <c r="J98">
        <f t="shared" si="12"/>
        <v>0</v>
      </c>
      <c r="K98">
        <f t="shared" si="15"/>
        <v>1172.97</v>
      </c>
    </row>
    <row r="99" spans="1:12" ht="15.75" thickBot="1" x14ac:dyDescent="0.3">
      <c r="A99" s="2" t="s">
        <v>57</v>
      </c>
      <c r="B99" s="2" t="s">
        <v>23</v>
      </c>
      <c r="C99" s="2" t="s">
        <v>24</v>
      </c>
      <c r="D99" s="2" t="s">
        <v>15</v>
      </c>
      <c r="E99" s="3">
        <v>1205.82</v>
      </c>
      <c r="F99" s="3">
        <v>11</v>
      </c>
      <c r="G99" s="3">
        <v>0.1</v>
      </c>
      <c r="H99" s="4">
        <v>45559</v>
      </c>
      <c r="I99" s="3">
        <v>542.62</v>
      </c>
      <c r="J99">
        <f t="shared" si="12"/>
        <v>9.9999999999999992E-2</v>
      </c>
      <c r="K99">
        <f>I93+E93*(G93-J93)</f>
        <v>265.61649999999997</v>
      </c>
      <c r="L99">
        <f>SUM(I93:I292)</f>
        <v>38287.74</v>
      </c>
    </row>
    <row r="100" spans="1:12" ht="15.75" hidden="1" thickBot="1" x14ac:dyDescent="0.3">
      <c r="A100" s="2" t="s">
        <v>16</v>
      </c>
      <c r="B100" s="2" t="s">
        <v>64</v>
      </c>
      <c r="C100" s="2" t="s">
        <v>11</v>
      </c>
      <c r="D100" s="2" t="s">
        <v>39</v>
      </c>
      <c r="E100" s="3">
        <v>826.93</v>
      </c>
      <c r="F100" s="3">
        <v>10</v>
      </c>
      <c r="G100" s="3">
        <v>0.2</v>
      </c>
      <c r="H100" s="4">
        <v>45564</v>
      </c>
      <c r="I100" s="3">
        <v>297.69</v>
      </c>
      <c r="J100">
        <f t="shared" ref="J99:J130" si="16">MAX(0,G99-5%)</f>
        <v>0.05</v>
      </c>
      <c r="K100">
        <f t="shared" si="15"/>
        <v>785.58349999999996</v>
      </c>
    </row>
    <row r="101" spans="1:12" ht="15.75" hidden="1" thickBot="1" x14ac:dyDescent="0.3">
      <c r="A101" s="2" t="s">
        <v>67</v>
      </c>
      <c r="B101" s="2" t="s">
        <v>23</v>
      </c>
      <c r="C101" s="2" t="s">
        <v>34</v>
      </c>
      <c r="D101" s="2" t="s">
        <v>15</v>
      </c>
      <c r="E101" s="3">
        <v>902.19</v>
      </c>
      <c r="F101" s="3">
        <v>12</v>
      </c>
      <c r="G101" s="3">
        <v>0</v>
      </c>
      <c r="H101" s="4">
        <v>45564</v>
      </c>
      <c r="I101" s="3">
        <v>451.1</v>
      </c>
      <c r="J101">
        <f t="shared" si="16"/>
        <v>0.15000000000000002</v>
      </c>
      <c r="K101">
        <f t="shared" si="15"/>
        <v>766.86149999999998</v>
      </c>
    </row>
    <row r="102" spans="1:12" ht="15.75" hidden="1" thickBot="1" x14ac:dyDescent="0.3">
      <c r="A102" s="2" t="s">
        <v>74</v>
      </c>
      <c r="B102" s="2" t="s">
        <v>38</v>
      </c>
      <c r="C102" s="2" t="s">
        <v>24</v>
      </c>
      <c r="D102" s="2" t="s">
        <v>12</v>
      </c>
      <c r="E102" s="3">
        <v>585.97</v>
      </c>
      <c r="F102" s="3">
        <v>17</v>
      </c>
      <c r="G102" s="3">
        <v>0.1</v>
      </c>
      <c r="H102" s="4">
        <v>45565</v>
      </c>
      <c r="I102" s="3">
        <v>210.95</v>
      </c>
      <c r="J102">
        <f t="shared" si="16"/>
        <v>0</v>
      </c>
      <c r="K102">
        <f t="shared" si="15"/>
        <v>585.97</v>
      </c>
    </row>
    <row r="103" spans="1:12" ht="15.75" hidden="1" thickBot="1" x14ac:dyDescent="0.3">
      <c r="A103" s="2" t="s">
        <v>60</v>
      </c>
      <c r="B103" s="2" t="s">
        <v>26</v>
      </c>
      <c r="C103" s="2" t="s">
        <v>24</v>
      </c>
      <c r="D103" s="2" t="s">
        <v>15</v>
      </c>
      <c r="E103" s="3">
        <v>990.19</v>
      </c>
      <c r="F103" s="3">
        <v>8</v>
      </c>
      <c r="G103" s="3">
        <v>0.1</v>
      </c>
      <c r="H103" s="4">
        <v>45565</v>
      </c>
      <c r="I103" s="3">
        <v>445.59</v>
      </c>
      <c r="J103">
        <f t="shared" si="16"/>
        <v>0.05</v>
      </c>
      <c r="K103">
        <f t="shared" si="15"/>
        <v>940.68050000000005</v>
      </c>
    </row>
    <row r="104" spans="1:12" ht="15.75" hidden="1" thickBot="1" x14ac:dyDescent="0.3">
      <c r="A104" s="2" t="s">
        <v>44</v>
      </c>
      <c r="B104" s="2" t="s">
        <v>56</v>
      </c>
      <c r="C104" s="2" t="s">
        <v>34</v>
      </c>
      <c r="D104" s="2" t="s">
        <v>21</v>
      </c>
      <c r="E104" s="3">
        <v>1014.09</v>
      </c>
      <c r="F104" s="3">
        <v>13</v>
      </c>
      <c r="G104" s="3">
        <v>0.2</v>
      </c>
      <c r="H104" s="4">
        <v>45567</v>
      </c>
      <c r="I104" s="3">
        <v>202.82</v>
      </c>
      <c r="J104">
        <f t="shared" si="16"/>
        <v>0.05</v>
      </c>
      <c r="K104">
        <f t="shared" si="15"/>
        <v>963.38549999999998</v>
      </c>
    </row>
    <row r="105" spans="1:12" ht="15.75" hidden="1" thickBot="1" x14ac:dyDescent="0.3">
      <c r="A105" s="2" t="s">
        <v>13</v>
      </c>
      <c r="B105" s="2" t="s">
        <v>48</v>
      </c>
      <c r="C105" s="2" t="s">
        <v>24</v>
      </c>
      <c r="D105" s="2" t="s">
        <v>21</v>
      </c>
      <c r="E105" s="3">
        <v>925.29</v>
      </c>
      <c r="F105" s="3">
        <v>17</v>
      </c>
      <c r="G105" s="3">
        <v>0</v>
      </c>
      <c r="H105" s="4">
        <v>45570</v>
      </c>
      <c r="I105" s="3">
        <v>231.32</v>
      </c>
      <c r="J105">
        <f t="shared" si="16"/>
        <v>0.15000000000000002</v>
      </c>
      <c r="K105">
        <f t="shared" si="15"/>
        <v>786.49649999999997</v>
      </c>
    </row>
    <row r="106" spans="1:12" ht="15.75" thickBot="1" x14ac:dyDescent="0.3">
      <c r="A106" s="2" t="s">
        <v>54</v>
      </c>
      <c r="B106" s="2" t="s">
        <v>47</v>
      </c>
      <c r="C106" s="2" t="s">
        <v>18</v>
      </c>
      <c r="D106" s="2" t="s">
        <v>27</v>
      </c>
      <c r="E106" s="3">
        <v>1286.54</v>
      </c>
      <c r="F106" s="3">
        <v>8</v>
      </c>
      <c r="G106" s="3">
        <v>0</v>
      </c>
      <c r="H106" s="4">
        <v>45575</v>
      </c>
      <c r="I106" s="3">
        <v>450.29</v>
      </c>
      <c r="J106">
        <f t="shared" si="16"/>
        <v>0</v>
      </c>
      <c r="K106">
        <f>I100+E100*(G100-J100)</f>
        <v>421.72950000000003</v>
      </c>
      <c r="L106">
        <f>SUM(I100:I299)</f>
        <v>35904.769999999997</v>
      </c>
    </row>
    <row r="107" spans="1:12" ht="15.75" hidden="1" thickBot="1" x14ac:dyDescent="0.3">
      <c r="A107" s="2" t="s">
        <v>37</v>
      </c>
      <c r="B107" s="2" t="s">
        <v>64</v>
      </c>
      <c r="C107" s="2" t="s">
        <v>20</v>
      </c>
      <c r="D107" s="2" t="s">
        <v>12</v>
      </c>
      <c r="E107" s="3">
        <v>961.62</v>
      </c>
      <c r="F107" s="3">
        <v>8</v>
      </c>
      <c r="G107" s="3">
        <v>0.2</v>
      </c>
      <c r="H107" s="4">
        <v>45577</v>
      </c>
      <c r="I107" s="3">
        <v>307.72000000000003</v>
      </c>
      <c r="J107">
        <f t="shared" si="16"/>
        <v>0</v>
      </c>
      <c r="K107">
        <f t="shared" si="15"/>
        <v>961.62</v>
      </c>
    </row>
    <row r="108" spans="1:12" ht="15.75" hidden="1" thickBot="1" x14ac:dyDescent="0.3">
      <c r="A108" s="2" t="s">
        <v>44</v>
      </c>
      <c r="B108" s="2" t="s">
        <v>23</v>
      </c>
      <c r="C108" s="2" t="s">
        <v>18</v>
      </c>
      <c r="D108" s="2" t="s">
        <v>12</v>
      </c>
      <c r="E108" s="3">
        <v>1081.1400000000001</v>
      </c>
      <c r="F108" s="3">
        <v>19</v>
      </c>
      <c r="G108" s="3">
        <v>0.15</v>
      </c>
      <c r="H108" s="4">
        <v>45577</v>
      </c>
      <c r="I108" s="3">
        <v>367.59</v>
      </c>
      <c r="J108">
        <f t="shared" si="16"/>
        <v>0.15000000000000002</v>
      </c>
      <c r="K108">
        <f t="shared" si="15"/>
        <v>918.96900000000005</v>
      </c>
    </row>
    <row r="109" spans="1:12" ht="15.75" thickBot="1" x14ac:dyDescent="0.3">
      <c r="A109" s="2" t="s">
        <v>58</v>
      </c>
      <c r="B109" s="2" t="s">
        <v>23</v>
      </c>
      <c r="C109" s="2" t="s">
        <v>11</v>
      </c>
      <c r="D109" s="2" t="s">
        <v>15</v>
      </c>
      <c r="E109" s="3">
        <v>1923.66</v>
      </c>
      <c r="F109" s="3">
        <v>9</v>
      </c>
      <c r="G109" s="3">
        <v>0.2</v>
      </c>
      <c r="H109" s="4">
        <v>45580</v>
      </c>
      <c r="I109" s="3">
        <v>769.46</v>
      </c>
      <c r="J109">
        <f t="shared" si="16"/>
        <v>9.9999999999999992E-2</v>
      </c>
      <c r="K109">
        <f>I103+E103*(G103-J103)</f>
        <v>495.09949999999998</v>
      </c>
      <c r="L109">
        <f>SUM(I103:I302)</f>
        <v>34945.03</v>
      </c>
    </row>
    <row r="110" spans="1:12" ht="15.75" hidden="1" thickBot="1" x14ac:dyDescent="0.3">
      <c r="A110" s="2" t="s">
        <v>54</v>
      </c>
      <c r="B110" s="2" t="s">
        <v>66</v>
      </c>
      <c r="C110" s="2" t="s">
        <v>34</v>
      </c>
      <c r="D110" s="2" t="s">
        <v>15</v>
      </c>
      <c r="E110" s="3">
        <v>728.71</v>
      </c>
      <c r="F110" s="3">
        <v>14</v>
      </c>
      <c r="G110" s="3">
        <v>0.1</v>
      </c>
      <c r="H110" s="4">
        <v>45581</v>
      </c>
      <c r="I110" s="3">
        <v>327.92</v>
      </c>
      <c r="J110">
        <f t="shared" si="16"/>
        <v>0.15000000000000002</v>
      </c>
      <c r="K110">
        <f t="shared" si="15"/>
        <v>619.40350000000001</v>
      </c>
    </row>
    <row r="111" spans="1:12" ht="15.75" thickBot="1" x14ac:dyDescent="0.3">
      <c r="A111" s="2" t="s">
        <v>9</v>
      </c>
      <c r="B111" s="2" t="s">
        <v>33</v>
      </c>
      <c r="C111" s="2" t="s">
        <v>34</v>
      </c>
      <c r="D111" s="2" t="s">
        <v>15</v>
      </c>
      <c r="E111" s="3">
        <v>1301.8900000000001</v>
      </c>
      <c r="F111" s="3">
        <v>7</v>
      </c>
      <c r="G111" s="3">
        <v>0.15</v>
      </c>
      <c r="H111" s="4">
        <v>45581</v>
      </c>
      <c r="I111" s="3">
        <v>553.29999999999995</v>
      </c>
      <c r="J111">
        <f t="shared" si="16"/>
        <v>0.05</v>
      </c>
      <c r="K111">
        <f>I105+E105*(G105-J105)</f>
        <v>92.52649999999997</v>
      </c>
      <c r="L111">
        <f>SUM(I105:I304)</f>
        <v>34296.619999999995</v>
      </c>
    </row>
    <row r="112" spans="1:12" ht="15.75" hidden="1" thickBot="1" x14ac:dyDescent="0.3">
      <c r="A112" s="2" t="s">
        <v>70</v>
      </c>
      <c r="B112" s="2" t="s">
        <v>66</v>
      </c>
      <c r="C112" s="2" t="s">
        <v>18</v>
      </c>
      <c r="D112" s="2" t="s">
        <v>12</v>
      </c>
      <c r="E112" s="3">
        <v>980.18</v>
      </c>
      <c r="F112" s="3">
        <v>16</v>
      </c>
      <c r="G112" s="3">
        <v>0.1</v>
      </c>
      <c r="H112" s="4">
        <v>45582</v>
      </c>
      <c r="I112" s="3">
        <v>352.86</v>
      </c>
      <c r="J112">
        <f t="shared" si="16"/>
        <v>9.9999999999999992E-2</v>
      </c>
      <c r="K112">
        <f t="shared" si="15"/>
        <v>882.16199999999992</v>
      </c>
    </row>
    <row r="113" spans="1:12" ht="15.75" hidden="1" thickBot="1" x14ac:dyDescent="0.3">
      <c r="A113" s="2" t="s">
        <v>74</v>
      </c>
      <c r="B113" s="2" t="s">
        <v>23</v>
      </c>
      <c r="C113" s="2" t="s">
        <v>11</v>
      </c>
      <c r="D113" s="2" t="s">
        <v>15</v>
      </c>
      <c r="E113" s="3">
        <v>697.57</v>
      </c>
      <c r="F113" s="3">
        <v>17</v>
      </c>
      <c r="G113" s="3">
        <v>0.1</v>
      </c>
      <c r="H113" s="4">
        <v>45584</v>
      </c>
      <c r="I113" s="3">
        <v>313.91000000000003</v>
      </c>
      <c r="J113">
        <f t="shared" si="16"/>
        <v>0.05</v>
      </c>
      <c r="K113">
        <f t="shared" si="15"/>
        <v>662.69150000000002</v>
      </c>
    </row>
    <row r="114" spans="1:12" ht="15.75" hidden="1" thickBot="1" x14ac:dyDescent="0.3">
      <c r="A114" s="2" t="s">
        <v>46</v>
      </c>
      <c r="B114" s="2" t="s">
        <v>71</v>
      </c>
      <c r="C114" s="2" t="s">
        <v>11</v>
      </c>
      <c r="D114" s="2" t="s">
        <v>27</v>
      </c>
      <c r="E114" s="3">
        <v>1193.6099999999999</v>
      </c>
      <c r="F114" s="3">
        <v>1</v>
      </c>
      <c r="G114" s="3">
        <v>0.15</v>
      </c>
      <c r="H114" s="4">
        <v>45584</v>
      </c>
      <c r="I114" s="3">
        <v>355.1</v>
      </c>
      <c r="J114">
        <f t="shared" si="16"/>
        <v>0.05</v>
      </c>
      <c r="K114">
        <f t="shared" si="15"/>
        <v>1133.9295</v>
      </c>
    </row>
    <row r="115" spans="1:12" ht="15.75" hidden="1" thickBot="1" x14ac:dyDescent="0.3">
      <c r="A115" s="2" t="s">
        <v>32</v>
      </c>
      <c r="B115" s="2" t="s">
        <v>38</v>
      </c>
      <c r="C115" s="2" t="s">
        <v>20</v>
      </c>
      <c r="D115" s="2" t="s">
        <v>21</v>
      </c>
      <c r="E115" s="3">
        <v>771.02</v>
      </c>
      <c r="F115" s="3">
        <v>1</v>
      </c>
      <c r="G115" s="3">
        <v>0</v>
      </c>
      <c r="H115" s="4">
        <v>45585</v>
      </c>
      <c r="I115" s="3">
        <v>192.76</v>
      </c>
      <c r="J115">
        <f t="shared" si="16"/>
        <v>9.9999999999999992E-2</v>
      </c>
      <c r="K115">
        <f t="shared" si="15"/>
        <v>693.91800000000001</v>
      </c>
    </row>
    <row r="116" spans="1:12" ht="15.75" hidden="1" thickBot="1" x14ac:dyDescent="0.3">
      <c r="A116" s="2" t="s">
        <v>67</v>
      </c>
      <c r="B116" s="2" t="s">
        <v>69</v>
      </c>
      <c r="C116" s="2" t="s">
        <v>24</v>
      </c>
      <c r="D116" s="2" t="s">
        <v>15</v>
      </c>
      <c r="E116" s="3">
        <v>661.09</v>
      </c>
      <c r="F116" s="3">
        <v>1</v>
      </c>
      <c r="G116" s="3">
        <v>0.2</v>
      </c>
      <c r="H116" s="4">
        <v>45593</v>
      </c>
      <c r="I116" s="3">
        <v>264.44</v>
      </c>
      <c r="J116">
        <f t="shared" si="16"/>
        <v>0</v>
      </c>
      <c r="K116">
        <f t="shared" si="15"/>
        <v>661.09</v>
      </c>
    </row>
    <row r="117" spans="1:12" ht="15.75" hidden="1" thickBot="1" x14ac:dyDescent="0.3">
      <c r="A117" s="2" t="s">
        <v>13</v>
      </c>
      <c r="B117" s="2" t="s">
        <v>55</v>
      </c>
      <c r="C117" s="2" t="s">
        <v>11</v>
      </c>
      <c r="D117" s="2" t="s">
        <v>21</v>
      </c>
      <c r="E117" s="3">
        <v>688.83</v>
      </c>
      <c r="F117" s="3">
        <v>15</v>
      </c>
      <c r="G117" s="3">
        <v>0</v>
      </c>
      <c r="H117" s="4">
        <v>45595</v>
      </c>
      <c r="I117" s="3">
        <v>172.21</v>
      </c>
      <c r="J117">
        <f t="shared" si="16"/>
        <v>0.15000000000000002</v>
      </c>
      <c r="K117">
        <f t="shared" si="15"/>
        <v>585.50549999999998</v>
      </c>
    </row>
    <row r="118" spans="1:12" ht="15.75" thickBot="1" x14ac:dyDescent="0.3">
      <c r="A118" s="2" t="s">
        <v>73</v>
      </c>
      <c r="B118" s="2" t="s">
        <v>29</v>
      </c>
      <c r="C118" s="2" t="s">
        <v>34</v>
      </c>
      <c r="D118" s="2" t="s">
        <v>12</v>
      </c>
      <c r="E118" s="3">
        <v>1249.0999999999999</v>
      </c>
      <c r="F118" s="3">
        <v>4</v>
      </c>
      <c r="G118" s="3">
        <v>0.05</v>
      </c>
      <c r="H118" s="4">
        <v>45597</v>
      </c>
      <c r="I118" s="3">
        <v>474.66</v>
      </c>
      <c r="J118">
        <f t="shared" si="16"/>
        <v>0</v>
      </c>
      <c r="K118">
        <f>I112+E112*(G112-J112)</f>
        <v>352.86</v>
      </c>
      <c r="L118">
        <f>SUM(I112:I311)</f>
        <v>31289.020000000004</v>
      </c>
    </row>
    <row r="119" spans="1:12" ht="15.75" hidden="1" thickBot="1" x14ac:dyDescent="0.3">
      <c r="A119" s="2" t="s">
        <v>44</v>
      </c>
      <c r="B119" s="2" t="s">
        <v>23</v>
      </c>
      <c r="C119" s="2" t="s">
        <v>18</v>
      </c>
      <c r="D119" s="2" t="s">
        <v>39</v>
      </c>
      <c r="E119" s="3">
        <v>1014.22</v>
      </c>
      <c r="F119" s="3">
        <v>14</v>
      </c>
      <c r="G119" s="3">
        <v>0.05</v>
      </c>
      <c r="H119" s="4">
        <v>45599</v>
      </c>
      <c r="I119" s="3">
        <v>433.58</v>
      </c>
      <c r="J119">
        <f t="shared" si="16"/>
        <v>0</v>
      </c>
      <c r="K119">
        <f t="shared" si="15"/>
        <v>1014.22</v>
      </c>
    </row>
    <row r="120" spans="1:12" ht="15.75" hidden="1" thickBot="1" x14ac:dyDescent="0.3">
      <c r="A120" s="2" t="s">
        <v>54</v>
      </c>
      <c r="B120" s="2" t="s">
        <v>48</v>
      </c>
      <c r="C120" s="2" t="s">
        <v>18</v>
      </c>
      <c r="D120" s="2" t="s">
        <v>12</v>
      </c>
      <c r="E120" s="3">
        <v>1010.58</v>
      </c>
      <c r="F120" s="3">
        <v>2</v>
      </c>
      <c r="G120" s="3">
        <v>0.15</v>
      </c>
      <c r="H120" s="4">
        <v>45605</v>
      </c>
      <c r="I120" s="3">
        <v>343.6</v>
      </c>
      <c r="J120">
        <f t="shared" si="16"/>
        <v>0</v>
      </c>
      <c r="K120">
        <f t="shared" si="15"/>
        <v>1010.58</v>
      </c>
    </row>
    <row r="121" spans="1:12" ht="15.75" hidden="1" thickBot="1" x14ac:dyDescent="0.3">
      <c r="A121" s="2" t="s">
        <v>30</v>
      </c>
      <c r="B121" s="2" t="s">
        <v>59</v>
      </c>
      <c r="C121" s="2" t="s">
        <v>24</v>
      </c>
      <c r="D121" s="2" t="s">
        <v>27</v>
      </c>
      <c r="E121" s="3">
        <v>957.29</v>
      </c>
      <c r="F121" s="3">
        <v>4</v>
      </c>
      <c r="G121" s="3">
        <v>0.05</v>
      </c>
      <c r="H121" s="4">
        <v>45605</v>
      </c>
      <c r="I121" s="3">
        <v>318.3</v>
      </c>
      <c r="J121">
        <f t="shared" si="16"/>
        <v>9.9999999999999992E-2</v>
      </c>
      <c r="K121">
        <f t="shared" si="15"/>
        <v>861.56100000000004</v>
      </c>
    </row>
    <row r="122" spans="1:12" ht="15.75" hidden="1" thickBot="1" x14ac:dyDescent="0.3">
      <c r="A122" s="2" t="s">
        <v>28</v>
      </c>
      <c r="B122" s="2" t="s">
        <v>45</v>
      </c>
      <c r="C122" s="2" t="s">
        <v>24</v>
      </c>
      <c r="D122" s="2" t="s">
        <v>27</v>
      </c>
      <c r="E122" s="3">
        <v>1077.92</v>
      </c>
      <c r="F122" s="3">
        <v>3</v>
      </c>
      <c r="G122" s="3">
        <v>0.05</v>
      </c>
      <c r="H122" s="4">
        <v>45608</v>
      </c>
      <c r="I122" s="3">
        <v>358.41</v>
      </c>
      <c r="J122">
        <f t="shared" si="16"/>
        <v>0</v>
      </c>
      <c r="K122">
        <f t="shared" si="15"/>
        <v>1077.92</v>
      </c>
    </row>
    <row r="123" spans="1:12" ht="15.75" hidden="1" thickBot="1" x14ac:dyDescent="0.3">
      <c r="A123" s="2" t="s">
        <v>52</v>
      </c>
      <c r="B123" s="2" t="s">
        <v>50</v>
      </c>
      <c r="C123" s="2" t="s">
        <v>20</v>
      </c>
      <c r="D123" s="2" t="s">
        <v>15</v>
      </c>
      <c r="E123" s="3">
        <v>1163.01</v>
      </c>
      <c r="F123" s="3">
        <v>5</v>
      </c>
      <c r="G123" s="3">
        <v>0</v>
      </c>
      <c r="H123" s="4">
        <v>45611</v>
      </c>
      <c r="I123" s="3">
        <v>581.5</v>
      </c>
      <c r="J123">
        <f t="shared" si="16"/>
        <v>0</v>
      </c>
      <c r="K123">
        <f t="shared" si="15"/>
        <v>1163.01</v>
      </c>
    </row>
    <row r="124" spans="1:12" ht="15.75" hidden="1" thickBot="1" x14ac:dyDescent="0.3">
      <c r="A124" s="2" t="s">
        <v>54</v>
      </c>
      <c r="B124" s="2" t="s">
        <v>45</v>
      </c>
      <c r="C124" s="2" t="s">
        <v>18</v>
      </c>
      <c r="D124" s="2" t="s">
        <v>39</v>
      </c>
      <c r="E124" s="3">
        <v>1014.56</v>
      </c>
      <c r="F124" s="3">
        <v>10</v>
      </c>
      <c r="G124" s="3">
        <v>0.1</v>
      </c>
      <c r="H124" s="4">
        <v>45612</v>
      </c>
      <c r="I124" s="3">
        <v>410.9</v>
      </c>
      <c r="J124">
        <f t="shared" si="16"/>
        <v>0</v>
      </c>
      <c r="K124">
        <f t="shared" si="15"/>
        <v>1014.56</v>
      </c>
    </row>
    <row r="125" spans="1:12" ht="15.75" hidden="1" thickBot="1" x14ac:dyDescent="0.3">
      <c r="A125" s="2" t="s">
        <v>9</v>
      </c>
      <c r="B125" s="2" t="s">
        <v>17</v>
      </c>
      <c r="C125" s="2" t="s">
        <v>20</v>
      </c>
      <c r="D125" s="2" t="s">
        <v>21</v>
      </c>
      <c r="E125" s="3">
        <v>718.04</v>
      </c>
      <c r="F125" s="3">
        <v>14</v>
      </c>
      <c r="G125" s="3">
        <v>0</v>
      </c>
      <c r="H125" s="4">
        <v>45613</v>
      </c>
      <c r="I125" s="3">
        <v>179.51</v>
      </c>
      <c r="J125">
        <f t="shared" si="16"/>
        <v>0.05</v>
      </c>
      <c r="K125">
        <f t="shared" si="15"/>
        <v>682.13799999999992</v>
      </c>
    </row>
    <row r="126" spans="1:12" ht="15.75" thickBot="1" x14ac:dyDescent="0.3">
      <c r="A126" s="2" t="s">
        <v>72</v>
      </c>
      <c r="B126" s="2" t="s">
        <v>17</v>
      </c>
      <c r="C126" s="2" t="s">
        <v>34</v>
      </c>
      <c r="D126" s="2" t="s">
        <v>15</v>
      </c>
      <c r="E126" s="3">
        <v>1277.8499999999999</v>
      </c>
      <c r="F126" s="3">
        <v>18</v>
      </c>
      <c r="G126" s="3">
        <v>0.2</v>
      </c>
      <c r="H126" s="4">
        <v>45613</v>
      </c>
      <c r="I126" s="3">
        <v>511.14</v>
      </c>
      <c r="J126">
        <f t="shared" si="16"/>
        <v>0</v>
      </c>
      <c r="K126">
        <f>I120+E120*(G120-J120)</f>
        <v>495.18700000000001</v>
      </c>
      <c r="L126">
        <f>SUM(I120:I319)</f>
        <v>28729.500000000004</v>
      </c>
    </row>
    <row r="127" spans="1:12" ht="15.75" hidden="1" thickBot="1" x14ac:dyDescent="0.3">
      <c r="A127" s="2" t="s">
        <v>70</v>
      </c>
      <c r="B127" s="2" t="s">
        <v>23</v>
      </c>
      <c r="C127" s="2" t="s">
        <v>24</v>
      </c>
      <c r="D127" s="2" t="s">
        <v>21</v>
      </c>
      <c r="E127" s="3">
        <v>706.73</v>
      </c>
      <c r="F127" s="3">
        <v>1</v>
      </c>
      <c r="G127" s="3">
        <v>0.15</v>
      </c>
      <c r="H127" s="4">
        <v>45613</v>
      </c>
      <c r="I127" s="3">
        <v>150.18</v>
      </c>
      <c r="J127">
        <f t="shared" si="16"/>
        <v>0.15000000000000002</v>
      </c>
      <c r="K127">
        <f t="shared" si="15"/>
        <v>600.72050000000002</v>
      </c>
    </row>
    <row r="128" spans="1:12" ht="15.75" thickBot="1" x14ac:dyDescent="0.3">
      <c r="A128" s="2" t="s">
        <v>65</v>
      </c>
      <c r="B128" s="2" t="s">
        <v>50</v>
      </c>
      <c r="C128" s="2" t="s">
        <v>18</v>
      </c>
      <c r="D128" s="2" t="s">
        <v>21</v>
      </c>
      <c r="E128" s="3">
        <v>1410.59</v>
      </c>
      <c r="F128" s="3">
        <v>15</v>
      </c>
      <c r="G128" s="3">
        <v>0</v>
      </c>
      <c r="H128" s="4">
        <v>45615</v>
      </c>
      <c r="I128" s="3">
        <v>352.65</v>
      </c>
      <c r="J128">
        <f t="shared" si="16"/>
        <v>9.9999999999999992E-2</v>
      </c>
      <c r="K128">
        <f t="shared" ref="K128:K129" si="17">I122+E122*(G122-J122)</f>
        <v>412.30600000000004</v>
      </c>
      <c r="L128">
        <f t="shared" ref="L128:L129" si="18">SUM(I122:I321)</f>
        <v>28067.600000000002</v>
      </c>
    </row>
    <row r="129" spans="1:12" ht="15.75" thickBot="1" x14ac:dyDescent="0.3">
      <c r="A129" s="2" t="s">
        <v>32</v>
      </c>
      <c r="B129" s="2" t="s">
        <v>61</v>
      </c>
      <c r="C129" s="2" t="s">
        <v>20</v>
      </c>
      <c r="D129" s="2" t="s">
        <v>27</v>
      </c>
      <c r="E129" s="3">
        <v>1350.33</v>
      </c>
      <c r="F129" s="3">
        <v>10</v>
      </c>
      <c r="G129" s="3">
        <v>0</v>
      </c>
      <c r="H129" s="4">
        <v>45615</v>
      </c>
      <c r="I129" s="3">
        <v>472.62</v>
      </c>
      <c r="J129">
        <f t="shared" si="16"/>
        <v>0</v>
      </c>
      <c r="K129">
        <f t="shared" si="17"/>
        <v>581.5</v>
      </c>
      <c r="L129">
        <f t="shared" si="18"/>
        <v>27709.190000000002</v>
      </c>
    </row>
    <row r="130" spans="1:12" ht="15.75" hidden="1" thickBot="1" x14ac:dyDescent="0.3">
      <c r="A130" s="2" t="s">
        <v>41</v>
      </c>
      <c r="B130" s="2" t="s">
        <v>45</v>
      </c>
      <c r="C130" s="2" t="s">
        <v>18</v>
      </c>
      <c r="D130" s="2" t="s">
        <v>21</v>
      </c>
      <c r="E130" s="3">
        <v>919.18</v>
      </c>
      <c r="F130" s="3">
        <v>4</v>
      </c>
      <c r="G130" s="3">
        <v>0.15</v>
      </c>
      <c r="H130" s="4">
        <v>45615</v>
      </c>
      <c r="I130" s="3">
        <v>195.33</v>
      </c>
      <c r="J130">
        <f t="shared" si="16"/>
        <v>0</v>
      </c>
      <c r="K130">
        <f t="shared" si="15"/>
        <v>919.18</v>
      </c>
    </row>
    <row r="131" spans="1:12" ht="15.75" hidden="1" thickBot="1" x14ac:dyDescent="0.3">
      <c r="A131" s="2" t="s">
        <v>74</v>
      </c>
      <c r="B131" s="2" t="s">
        <v>23</v>
      </c>
      <c r="C131" s="2" t="s">
        <v>11</v>
      </c>
      <c r="D131" s="2" t="s">
        <v>21</v>
      </c>
      <c r="E131" s="3">
        <v>258.51</v>
      </c>
      <c r="F131" s="3">
        <v>19</v>
      </c>
      <c r="G131" s="3">
        <v>0</v>
      </c>
      <c r="H131" s="4">
        <v>45616</v>
      </c>
      <c r="I131" s="3">
        <v>64.63</v>
      </c>
      <c r="J131">
        <f t="shared" ref="J131:J162" si="19">MAX(0,G130-5%)</f>
        <v>9.9999999999999992E-2</v>
      </c>
      <c r="K131">
        <f t="shared" si="15"/>
        <v>232.65899999999999</v>
      </c>
    </row>
    <row r="132" spans="1:12" ht="15.75" thickBot="1" x14ac:dyDescent="0.3">
      <c r="A132" s="2" t="s">
        <v>63</v>
      </c>
      <c r="B132" s="2" t="s">
        <v>61</v>
      </c>
      <c r="C132" s="2" t="s">
        <v>18</v>
      </c>
      <c r="D132" s="2" t="s">
        <v>12</v>
      </c>
      <c r="E132" s="3">
        <v>1213.48</v>
      </c>
      <c r="F132" s="3">
        <v>5</v>
      </c>
      <c r="G132" s="3">
        <v>0.05</v>
      </c>
      <c r="H132" s="4">
        <v>45616</v>
      </c>
      <c r="I132" s="3">
        <v>461.12</v>
      </c>
      <c r="J132">
        <f t="shared" si="19"/>
        <v>0</v>
      </c>
      <c r="K132">
        <f>I126+E126*(G126-J126)</f>
        <v>766.71</v>
      </c>
      <c r="L132">
        <f>SUM(I126:I325)</f>
        <v>26537.28000000001</v>
      </c>
    </row>
    <row r="133" spans="1:12" ht="15.75" hidden="1" thickBot="1" x14ac:dyDescent="0.3">
      <c r="A133" s="2" t="s">
        <v>57</v>
      </c>
      <c r="B133" s="2" t="s">
        <v>38</v>
      </c>
      <c r="C133" s="2" t="s">
        <v>34</v>
      </c>
      <c r="D133" s="2" t="s">
        <v>12</v>
      </c>
      <c r="E133" s="3">
        <v>1150.28</v>
      </c>
      <c r="F133" s="3">
        <v>8</v>
      </c>
      <c r="G133" s="3">
        <v>0.05</v>
      </c>
      <c r="H133" s="4">
        <v>45622</v>
      </c>
      <c r="I133" s="3">
        <v>437.11</v>
      </c>
      <c r="J133">
        <f t="shared" si="19"/>
        <v>0</v>
      </c>
      <c r="K133">
        <f t="shared" si="15"/>
        <v>1150.28</v>
      </c>
    </row>
    <row r="134" spans="1:12" ht="15.75" hidden="1" thickBot="1" x14ac:dyDescent="0.3">
      <c r="A134" s="2" t="s">
        <v>37</v>
      </c>
      <c r="B134" s="2" t="s">
        <v>71</v>
      </c>
      <c r="C134" s="2" t="s">
        <v>20</v>
      </c>
      <c r="D134" s="2" t="s">
        <v>27</v>
      </c>
      <c r="E134" s="3">
        <v>853.86</v>
      </c>
      <c r="F134" s="3">
        <v>8</v>
      </c>
      <c r="G134" s="3">
        <v>0.1</v>
      </c>
      <c r="H134" s="4">
        <v>45622</v>
      </c>
      <c r="I134" s="3">
        <v>268.97000000000003</v>
      </c>
      <c r="J134">
        <f t="shared" si="19"/>
        <v>0</v>
      </c>
      <c r="K134">
        <f t="shared" si="15"/>
        <v>853.86</v>
      </c>
    </row>
    <row r="135" spans="1:12" ht="15.75" hidden="1" thickBot="1" x14ac:dyDescent="0.3">
      <c r="A135" s="2" t="s">
        <v>75</v>
      </c>
      <c r="B135" s="2" t="s">
        <v>45</v>
      </c>
      <c r="C135" s="2" t="s">
        <v>20</v>
      </c>
      <c r="D135" s="2" t="s">
        <v>21</v>
      </c>
      <c r="E135" s="3">
        <v>1061.04</v>
      </c>
      <c r="F135" s="3">
        <v>1</v>
      </c>
      <c r="G135" s="3">
        <v>0</v>
      </c>
      <c r="H135" s="4">
        <v>45624</v>
      </c>
      <c r="I135" s="3">
        <v>265.26</v>
      </c>
      <c r="J135">
        <f t="shared" si="19"/>
        <v>0.05</v>
      </c>
      <c r="K135">
        <f t="shared" si="15"/>
        <v>1007.9879999999999</v>
      </c>
    </row>
    <row r="136" spans="1:12" ht="15.75" hidden="1" thickBot="1" x14ac:dyDescent="0.3">
      <c r="A136" s="2" t="s">
        <v>28</v>
      </c>
      <c r="B136" s="2" t="s">
        <v>43</v>
      </c>
      <c r="C136" s="2" t="s">
        <v>11</v>
      </c>
      <c r="D136" s="2" t="s">
        <v>21</v>
      </c>
      <c r="E136" s="3">
        <v>894.55</v>
      </c>
      <c r="F136" s="3">
        <v>19</v>
      </c>
      <c r="G136" s="3">
        <v>0.2</v>
      </c>
      <c r="H136" s="4">
        <v>45625</v>
      </c>
      <c r="I136" s="3">
        <v>178.91</v>
      </c>
      <c r="J136">
        <f t="shared" si="19"/>
        <v>0</v>
      </c>
      <c r="K136">
        <f t="shared" si="15"/>
        <v>894.55</v>
      </c>
    </row>
    <row r="137" spans="1:12" ht="15.75" hidden="1" thickBot="1" x14ac:dyDescent="0.3">
      <c r="A137" s="2" t="s">
        <v>25</v>
      </c>
      <c r="B137" s="2" t="s">
        <v>38</v>
      </c>
      <c r="C137" s="2" t="s">
        <v>24</v>
      </c>
      <c r="D137" s="2" t="s">
        <v>39</v>
      </c>
      <c r="E137" s="3">
        <v>833.91</v>
      </c>
      <c r="F137" s="3">
        <v>3</v>
      </c>
      <c r="G137" s="3">
        <v>0.05</v>
      </c>
      <c r="H137" s="4">
        <v>45626</v>
      </c>
      <c r="I137" s="3">
        <v>356.5</v>
      </c>
      <c r="J137">
        <f t="shared" si="19"/>
        <v>0.15000000000000002</v>
      </c>
      <c r="K137">
        <f t="shared" si="15"/>
        <v>708.82349999999997</v>
      </c>
    </row>
    <row r="138" spans="1:12" ht="15.75" hidden="1" thickBot="1" x14ac:dyDescent="0.3">
      <c r="A138" s="2" t="s">
        <v>58</v>
      </c>
      <c r="B138" s="2" t="s">
        <v>71</v>
      </c>
      <c r="C138" s="2" t="s">
        <v>11</v>
      </c>
      <c r="D138" s="2" t="s">
        <v>27</v>
      </c>
      <c r="E138" s="3">
        <v>820.19</v>
      </c>
      <c r="F138" s="3">
        <v>4</v>
      </c>
      <c r="G138" s="3">
        <v>0.2</v>
      </c>
      <c r="H138" s="4">
        <v>45630</v>
      </c>
      <c r="I138" s="3">
        <v>229.65</v>
      </c>
      <c r="J138">
        <f t="shared" si="19"/>
        <v>0</v>
      </c>
      <c r="K138">
        <f t="shared" si="15"/>
        <v>820.19</v>
      </c>
    </row>
    <row r="139" spans="1:12" ht="15.75" hidden="1" thickBot="1" x14ac:dyDescent="0.3">
      <c r="A139" s="2" t="s">
        <v>58</v>
      </c>
      <c r="B139" s="2" t="s">
        <v>38</v>
      </c>
      <c r="C139" s="2" t="s">
        <v>34</v>
      </c>
      <c r="D139" s="2" t="s">
        <v>21</v>
      </c>
      <c r="E139" s="3">
        <v>511.74</v>
      </c>
      <c r="F139" s="3">
        <v>8</v>
      </c>
      <c r="G139" s="3">
        <v>0.05</v>
      </c>
      <c r="H139" s="4">
        <v>45631</v>
      </c>
      <c r="I139" s="3">
        <v>121.54</v>
      </c>
      <c r="J139">
        <f t="shared" si="19"/>
        <v>0.15000000000000002</v>
      </c>
      <c r="K139">
        <f t="shared" si="15"/>
        <v>434.97899999999998</v>
      </c>
    </row>
    <row r="140" spans="1:12" ht="15.75" hidden="1" thickBot="1" x14ac:dyDescent="0.3">
      <c r="A140" s="2" t="s">
        <v>65</v>
      </c>
      <c r="B140" s="2" t="s">
        <v>61</v>
      </c>
      <c r="C140" s="2" t="s">
        <v>20</v>
      </c>
      <c r="D140" s="2" t="s">
        <v>27</v>
      </c>
      <c r="E140" s="3">
        <v>806.03</v>
      </c>
      <c r="F140" s="3">
        <v>19</v>
      </c>
      <c r="G140" s="3">
        <v>0.05</v>
      </c>
      <c r="H140" s="4">
        <v>45638</v>
      </c>
      <c r="I140" s="3">
        <v>268</v>
      </c>
      <c r="J140">
        <f t="shared" si="19"/>
        <v>0</v>
      </c>
      <c r="K140">
        <f t="shared" si="15"/>
        <v>806.03</v>
      </c>
    </row>
    <row r="141" spans="1:12" ht="15.75" thickBot="1" x14ac:dyDescent="0.3">
      <c r="A141" s="2" t="s">
        <v>28</v>
      </c>
      <c r="B141" s="2" t="s">
        <v>26</v>
      </c>
      <c r="C141" s="2" t="s">
        <v>34</v>
      </c>
      <c r="D141" s="2" t="s">
        <v>27</v>
      </c>
      <c r="E141" s="3">
        <v>1432.47</v>
      </c>
      <c r="F141" s="3">
        <v>16</v>
      </c>
      <c r="G141" s="3">
        <v>0.15</v>
      </c>
      <c r="H141" s="4">
        <v>45640</v>
      </c>
      <c r="I141" s="3">
        <v>426.16</v>
      </c>
      <c r="J141">
        <f t="shared" si="19"/>
        <v>0</v>
      </c>
      <c r="K141">
        <f t="shared" ref="K141:K143" si="20">I135+E135*(G135-J135)</f>
        <v>212.208</v>
      </c>
      <c r="L141">
        <f t="shared" ref="L141:L143" si="21">SUM(I135:I334)</f>
        <v>23623.530000000006</v>
      </c>
    </row>
    <row r="142" spans="1:12" ht="15.75" thickBot="1" x14ac:dyDescent="0.3">
      <c r="A142" s="2" t="s">
        <v>74</v>
      </c>
      <c r="B142" s="2" t="s">
        <v>29</v>
      </c>
      <c r="C142" s="2" t="s">
        <v>34</v>
      </c>
      <c r="D142" s="2" t="s">
        <v>21</v>
      </c>
      <c r="E142" s="3">
        <v>1488.58</v>
      </c>
      <c r="F142" s="3">
        <v>10</v>
      </c>
      <c r="G142" s="3">
        <v>0.15</v>
      </c>
      <c r="H142" s="4">
        <v>45640</v>
      </c>
      <c r="I142" s="3">
        <v>316.32</v>
      </c>
      <c r="J142">
        <f t="shared" si="19"/>
        <v>9.9999999999999992E-2</v>
      </c>
      <c r="K142">
        <f t="shared" si="20"/>
        <v>357.82</v>
      </c>
      <c r="L142">
        <f t="shared" si="21"/>
        <v>23358.270000000004</v>
      </c>
    </row>
    <row r="143" spans="1:12" ht="15.75" thickBot="1" x14ac:dyDescent="0.3">
      <c r="A143" s="2" t="s">
        <v>30</v>
      </c>
      <c r="B143" s="2" t="s">
        <v>66</v>
      </c>
      <c r="C143" s="2" t="s">
        <v>18</v>
      </c>
      <c r="D143" s="2" t="s">
        <v>12</v>
      </c>
      <c r="E143" s="3">
        <v>1231.26</v>
      </c>
      <c r="F143" s="3">
        <v>9</v>
      </c>
      <c r="G143" s="3">
        <v>0</v>
      </c>
      <c r="H143" s="4">
        <v>45646</v>
      </c>
      <c r="I143" s="3">
        <v>492.5</v>
      </c>
      <c r="J143">
        <f t="shared" si="19"/>
        <v>9.9999999999999992E-2</v>
      </c>
      <c r="K143">
        <f t="shared" si="20"/>
        <v>273.10899999999998</v>
      </c>
      <c r="L143">
        <f t="shared" si="21"/>
        <v>23179.360000000004</v>
      </c>
    </row>
    <row r="144" spans="1:12" ht="15.75" hidden="1" thickBot="1" x14ac:dyDescent="0.3">
      <c r="A144" s="2" t="s">
        <v>30</v>
      </c>
      <c r="B144" s="2" t="s">
        <v>43</v>
      </c>
      <c r="C144" s="2" t="s">
        <v>11</v>
      </c>
      <c r="D144" s="2" t="s">
        <v>21</v>
      </c>
      <c r="E144" s="3">
        <v>1161.67</v>
      </c>
      <c r="F144" s="3">
        <v>19</v>
      </c>
      <c r="G144" s="3">
        <v>0.2</v>
      </c>
      <c r="H144" s="4">
        <v>45647</v>
      </c>
      <c r="I144" s="3">
        <v>232.33</v>
      </c>
      <c r="J144">
        <f t="shared" si="19"/>
        <v>0</v>
      </c>
      <c r="K144">
        <f t="shared" si="15"/>
        <v>1161.67</v>
      </c>
    </row>
    <row r="145" spans="1:12" ht="15.75" hidden="1" thickBot="1" x14ac:dyDescent="0.3">
      <c r="A145" s="2" t="s">
        <v>49</v>
      </c>
      <c r="B145" s="2" t="s">
        <v>45</v>
      </c>
      <c r="C145" s="2" t="s">
        <v>34</v>
      </c>
      <c r="D145" s="2" t="s">
        <v>39</v>
      </c>
      <c r="E145" s="3">
        <v>388.23</v>
      </c>
      <c r="F145" s="3">
        <v>16</v>
      </c>
      <c r="G145" s="3">
        <v>0.05</v>
      </c>
      <c r="H145" s="4">
        <v>45650</v>
      </c>
      <c r="I145" s="3">
        <v>165.97</v>
      </c>
      <c r="J145">
        <f t="shared" si="19"/>
        <v>0.15000000000000002</v>
      </c>
      <c r="K145">
        <f t="shared" si="15"/>
        <v>329.99549999999999</v>
      </c>
    </row>
    <row r="146" spans="1:12" ht="15.75" thickBot="1" x14ac:dyDescent="0.3">
      <c r="A146" s="2" t="s">
        <v>72</v>
      </c>
      <c r="B146" s="2" t="s">
        <v>31</v>
      </c>
      <c r="C146" s="2" t="s">
        <v>24</v>
      </c>
      <c r="D146" s="2" t="s">
        <v>15</v>
      </c>
      <c r="E146" s="3">
        <v>1589.42</v>
      </c>
      <c r="F146" s="3">
        <v>6</v>
      </c>
      <c r="G146" s="3">
        <v>0.15</v>
      </c>
      <c r="H146" s="4">
        <v>45651</v>
      </c>
      <c r="I146" s="3">
        <v>675.5</v>
      </c>
      <c r="J146">
        <f t="shared" si="19"/>
        <v>0</v>
      </c>
      <c r="K146">
        <f>I140+E140*(G140-J140)</f>
        <v>308.30150000000003</v>
      </c>
      <c r="L146">
        <f>SUM(I140:I339)</f>
        <v>22471.670000000006</v>
      </c>
    </row>
    <row r="147" spans="1:12" ht="15.75" hidden="1" thickBot="1" x14ac:dyDescent="0.3">
      <c r="A147" s="2" t="s">
        <v>28</v>
      </c>
      <c r="B147" s="2" t="s">
        <v>71</v>
      </c>
      <c r="C147" s="2" t="s">
        <v>24</v>
      </c>
      <c r="D147" s="2" t="s">
        <v>15</v>
      </c>
      <c r="E147" s="3">
        <v>336.66</v>
      </c>
      <c r="F147" s="3">
        <v>13</v>
      </c>
      <c r="G147" s="3">
        <v>0.2</v>
      </c>
      <c r="H147" s="4">
        <v>45651</v>
      </c>
      <c r="I147" s="3">
        <v>134.66</v>
      </c>
      <c r="J147">
        <f t="shared" si="19"/>
        <v>9.9999999999999992E-2</v>
      </c>
      <c r="K147">
        <f t="shared" si="15"/>
        <v>302.99400000000003</v>
      </c>
    </row>
    <row r="148" spans="1:12" ht="15.75" thickBot="1" x14ac:dyDescent="0.3">
      <c r="A148" s="2" t="s">
        <v>49</v>
      </c>
      <c r="B148" s="2" t="s">
        <v>23</v>
      </c>
      <c r="C148" s="2" t="s">
        <v>11</v>
      </c>
      <c r="D148" s="2" t="s">
        <v>12</v>
      </c>
      <c r="E148" s="3">
        <v>1353.79</v>
      </c>
      <c r="F148" s="3">
        <v>14</v>
      </c>
      <c r="G148" s="3">
        <v>0.1</v>
      </c>
      <c r="H148" s="4">
        <v>45656</v>
      </c>
      <c r="I148" s="3">
        <v>487.36</v>
      </c>
      <c r="J148">
        <f t="shared" si="19"/>
        <v>0.15000000000000002</v>
      </c>
      <c r="K148">
        <f>I142+E142*(G142-J142)</f>
        <v>390.74900000000002</v>
      </c>
      <c r="L148">
        <f>SUM(I142:I341)</f>
        <v>21777.510000000009</v>
      </c>
    </row>
    <row r="149" spans="1:12" ht="15.75" hidden="1" thickBot="1" x14ac:dyDescent="0.3">
      <c r="A149" s="2" t="s">
        <v>63</v>
      </c>
      <c r="B149" s="2" t="s">
        <v>69</v>
      </c>
      <c r="C149" s="2" t="s">
        <v>34</v>
      </c>
      <c r="D149" s="2" t="s">
        <v>15</v>
      </c>
      <c r="E149" s="3">
        <v>662.61</v>
      </c>
      <c r="F149" s="3">
        <v>11</v>
      </c>
      <c r="G149" s="3">
        <v>0.05</v>
      </c>
      <c r="H149" s="4">
        <v>45658</v>
      </c>
      <c r="I149" s="3">
        <v>314.74</v>
      </c>
      <c r="J149">
        <f t="shared" si="19"/>
        <v>0.05</v>
      </c>
      <c r="K149">
        <f t="shared" si="15"/>
        <v>629.47950000000003</v>
      </c>
    </row>
    <row r="150" spans="1:12" ht="15.75" hidden="1" thickBot="1" x14ac:dyDescent="0.3">
      <c r="A150" s="2" t="s">
        <v>52</v>
      </c>
      <c r="B150" s="2" t="s">
        <v>48</v>
      </c>
      <c r="C150" s="2" t="s">
        <v>24</v>
      </c>
      <c r="D150" s="2" t="s">
        <v>39</v>
      </c>
      <c r="E150" s="3">
        <v>309.42</v>
      </c>
      <c r="F150" s="3">
        <v>1</v>
      </c>
      <c r="G150" s="3">
        <v>0.2</v>
      </c>
      <c r="H150" s="4">
        <v>45658</v>
      </c>
      <c r="I150" s="3">
        <v>111.39</v>
      </c>
      <c r="J150">
        <f t="shared" si="19"/>
        <v>0</v>
      </c>
      <c r="K150">
        <f t="shared" si="15"/>
        <v>309.42</v>
      </c>
    </row>
    <row r="151" spans="1:12" ht="15.75" hidden="1" thickBot="1" x14ac:dyDescent="0.3">
      <c r="A151" s="2" t="s">
        <v>63</v>
      </c>
      <c r="B151" s="2" t="s">
        <v>29</v>
      </c>
      <c r="C151" s="2" t="s">
        <v>24</v>
      </c>
      <c r="D151" s="2" t="s">
        <v>12</v>
      </c>
      <c r="E151" s="3">
        <v>884.63</v>
      </c>
      <c r="F151" s="3">
        <v>18</v>
      </c>
      <c r="G151" s="3">
        <v>0.1</v>
      </c>
      <c r="H151" s="4">
        <v>45659</v>
      </c>
      <c r="I151" s="3">
        <v>318.47000000000003</v>
      </c>
      <c r="J151">
        <f t="shared" si="19"/>
        <v>0.15000000000000002</v>
      </c>
      <c r="K151">
        <f t="shared" si="15"/>
        <v>751.93549999999993</v>
      </c>
    </row>
    <row r="152" spans="1:12" ht="15.75" hidden="1" thickBot="1" x14ac:dyDescent="0.3">
      <c r="A152" s="2" t="s">
        <v>52</v>
      </c>
      <c r="B152" s="2" t="s">
        <v>23</v>
      </c>
      <c r="C152" s="2" t="s">
        <v>34</v>
      </c>
      <c r="D152" s="2" t="s">
        <v>39</v>
      </c>
      <c r="E152" s="3">
        <v>745.05</v>
      </c>
      <c r="F152" s="3">
        <v>10</v>
      </c>
      <c r="G152" s="3">
        <v>0.1</v>
      </c>
      <c r="H152" s="4">
        <v>45660</v>
      </c>
      <c r="I152" s="3">
        <v>301.75</v>
      </c>
      <c r="J152">
        <f t="shared" si="19"/>
        <v>0.05</v>
      </c>
      <c r="K152">
        <f t="shared" si="15"/>
        <v>707.7974999999999</v>
      </c>
    </row>
    <row r="153" spans="1:12" ht="15.75" hidden="1" thickBot="1" x14ac:dyDescent="0.3">
      <c r="A153" s="2" t="s">
        <v>60</v>
      </c>
      <c r="B153" s="2" t="s">
        <v>17</v>
      </c>
      <c r="C153" s="2" t="s">
        <v>20</v>
      </c>
      <c r="D153" s="2" t="s">
        <v>15</v>
      </c>
      <c r="E153" s="3">
        <v>870.23</v>
      </c>
      <c r="F153" s="3">
        <v>5</v>
      </c>
      <c r="G153" s="3">
        <v>0.05</v>
      </c>
      <c r="H153" s="4">
        <v>45660</v>
      </c>
      <c r="I153" s="3">
        <v>413.36</v>
      </c>
      <c r="J153">
        <f t="shared" si="19"/>
        <v>0.05</v>
      </c>
      <c r="K153">
        <f t="shared" si="15"/>
        <v>826.71849999999995</v>
      </c>
    </row>
    <row r="154" spans="1:12" ht="15.75" hidden="1" thickBot="1" x14ac:dyDescent="0.3">
      <c r="A154" s="2" t="s">
        <v>35</v>
      </c>
      <c r="B154" s="2" t="s">
        <v>29</v>
      </c>
      <c r="C154" s="2" t="s">
        <v>11</v>
      </c>
      <c r="D154" s="2" t="s">
        <v>27</v>
      </c>
      <c r="E154" s="3">
        <v>862.19</v>
      </c>
      <c r="F154" s="3">
        <v>18</v>
      </c>
      <c r="G154" s="3">
        <v>0.05</v>
      </c>
      <c r="H154" s="4">
        <v>45663</v>
      </c>
      <c r="I154" s="3">
        <v>286.68</v>
      </c>
      <c r="J154">
        <f t="shared" si="19"/>
        <v>0</v>
      </c>
      <c r="K154">
        <f t="shared" si="15"/>
        <v>862.19</v>
      </c>
    </row>
    <row r="155" spans="1:12" ht="15.75" hidden="1" thickBot="1" x14ac:dyDescent="0.3">
      <c r="A155" s="2" t="s">
        <v>73</v>
      </c>
      <c r="B155" s="2" t="s">
        <v>59</v>
      </c>
      <c r="C155" s="2" t="s">
        <v>24</v>
      </c>
      <c r="D155" s="2" t="s">
        <v>15</v>
      </c>
      <c r="E155" s="3">
        <v>1171.18</v>
      </c>
      <c r="F155" s="3">
        <v>19</v>
      </c>
      <c r="G155" s="3">
        <v>0.05</v>
      </c>
      <c r="H155" s="4">
        <v>45667</v>
      </c>
      <c r="I155" s="3">
        <v>556.30999999999995</v>
      </c>
      <c r="J155">
        <f t="shared" si="19"/>
        <v>0</v>
      </c>
      <c r="K155">
        <f t="shared" si="15"/>
        <v>1171.18</v>
      </c>
    </row>
    <row r="156" spans="1:12" ht="15.75" hidden="1" thickBot="1" x14ac:dyDescent="0.3">
      <c r="A156" s="2" t="s">
        <v>58</v>
      </c>
      <c r="B156" s="2" t="s">
        <v>14</v>
      </c>
      <c r="C156" s="2" t="s">
        <v>20</v>
      </c>
      <c r="D156" s="2" t="s">
        <v>27</v>
      </c>
      <c r="E156" s="3">
        <v>1054.56</v>
      </c>
      <c r="F156" s="3">
        <v>11</v>
      </c>
      <c r="G156" s="3">
        <v>0.1</v>
      </c>
      <c r="H156" s="4">
        <v>45669</v>
      </c>
      <c r="I156" s="3">
        <v>332.19</v>
      </c>
      <c r="J156">
        <f t="shared" si="19"/>
        <v>0</v>
      </c>
      <c r="K156">
        <f t="shared" si="15"/>
        <v>1054.56</v>
      </c>
    </row>
    <row r="157" spans="1:12" ht="15.75" thickBot="1" x14ac:dyDescent="0.3">
      <c r="A157" s="2" t="s">
        <v>58</v>
      </c>
      <c r="B157" s="2" t="s">
        <v>23</v>
      </c>
      <c r="C157" s="2" t="s">
        <v>24</v>
      </c>
      <c r="D157" s="2" t="s">
        <v>21</v>
      </c>
      <c r="E157" s="3">
        <v>1681.21</v>
      </c>
      <c r="F157" s="3">
        <v>5</v>
      </c>
      <c r="G157" s="3">
        <v>0.2</v>
      </c>
      <c r="H157" s="4">
        <v>45670</v>
      </c>
      <c r="I157" s="3">
        <v>336.24</v>
      </c>
      <c r="J157">
        <f t="shared" si="19"/>
        <v>0.05</v>
      </c>
      <c r="K157">
        <f>I151+E151*(G151-J151)</f>
        <v>274.23850000000004</v>
      </c>
      <c r="L157">
        <f>SUM(I151:I350)</f>
        <v>18846.740000000005</v>
      </c>
    </row>
    <row r="158" spans="1:12" ht="15.75" hidden="1" thickBot="1" x14ac:dyDescent="0.3">
      <c r="A158" s="2" t="s">
        <v>58</v>
      </c>
      <c r="B158" s="2" t="s">
        <v>36</v>
      </c>
      <c r="C158" s="2" t="s">
        <v>11</v>
      </c>
      <c r="D158" s="2" t="s">
        <v>15</v>
      </c>
      <c r="E158" s="3">
        <v>379.77</v>
      </c>
      <c r="F158" s="3">
        <v>9</v>
      </c>
      <c r="G158" s="3">
        <v>0.05</v>
      </c>
      <c r="H158" s="4">
        <v>45673</v>
      </c>
      <c r="I158" s="3">
        <v>180.39</v>
      </c>
      <c r="J158">
        <f t="shared" si="19"/>
        <v>0.15000000000000002</v>
      </c>
      <c r="K158">
        <f t="shared" si="15"/>
        <v>322.80449999999996</v>
      </c>
    </row>
    <row r="159" spans="1:12" ht="15.75" hidden="1" thickBot="1" x14ac:dyDescent="0.3">
      <c r="A159" s="2" t="s">
        <v>44</v>
      </c>
      <c r="B159" s="2" t="s">
        <v>45</v>
      </c>
      <c r="C159" s="2" t="s">
        <v>34</v>
      </c>
      <c r="D159" s="2" t="s">
        <v>15</v>
      </c>
      <c r="E159" s="3">
        <v>1076.33</v>
      </c>
      <c r="F159" s="3">
        <v>2</v>
      </c>
      <c r="G159" s="3">
        <v>0.1</v>
      </c>
      <c r="H159" s="4">
        <v>45674</v>
      </c>
      <c r="I159" s="3">
        <v>484.35</v>
      </c>
      <c r="J159">
        <f t="shared" si="19"/>
        <v>0</v>
      </c>
      <c r="K159">
        <f t="shared" ref="K159:K201" si="22">E159*(1-J159)</f>
        <v>1076.33</v>
      </c>
    </row>
    <row r="160" spans="1:12" ht="15.75" thickBot="1" x14ac:dyDescent="0.3">
      <c r="A160" s="2" t="s">
        <v>44</v>
      </c>
      <c r="B160" s="2" t="s">
        <v>31</v>
      </c>
      <c r="C160" s="2" t="s">
        <v>34</v>
      </c>
      <c r="D160" s="2" t="s">
        <v>39</v>
      </c>
      <c r="E160" s="3">
        <v>1250.71</v>
      </c>
      <c r="F160" s="3">
        <v>7</v>
      </c>
      <c r="G160" s="3">
        <v>0</v>
      </c>
      <c r="H160" s="4">
        <v>45674</v>
      </c>
      <c r="I160" s="3">
        <v>562.82000000000005</v>
      </c>
      <c r="J160">
        <f t="shared" si="19"/>
        <v>0.05</v>
      </c>
      <c r="K160">
        <f>I154+E154*(G154-J154)</f>
        <v>329.78950000000003</v>
      </c>
      <c r="L160">
        <f>SUM(I154:I353)</f>
        <v>17813.16</v>
      </c>
    </row>
    <row r="161" spans="1:12" ht="15.75" hidden="1" thickBot="1" x14ac:dyDescent="0.3">
      <c r="A161" s="2" t="s">
        <v>40</v>
      </c>
      <c r="B161" s="2" t="s">
        <v>17</v>
      </c>
      <c r="C161" s="2" t="s">
        <v>20</v>
      </c>
      <c r="D161" s="2" t="s">
        <v>15</v>
      </c>
      <c r="E161" s="3">
        <v>1118.3399999999999</v>
      </c>
      <c r="F161" s="3">
        <v>6</v>
      </c>
      <c r="G161" s="3">
        <v>0.2</v>
      </c>
      <c r="H161" s="4">
        <v>45674</v>
      </c>
      <c r="I161" s="3">
        <v>447.34</v>
      </c>
      <c r="J161">
        <f t="shared" si="19"/>
        <v>0</v>
      </c>
      <c r="K161">
        <f t="shared" si="22"/>
        <v>1118.3399999999999</v>
      </c>
    </row>
    <row r="162" spans="1:12" ht="15.75" thickBot="1" x14ac:dyDescent="0.3">
      <c r="A162" s="2" t="s">
        <v>70</v>
      </c>
      <c r="B162" s="2" t="s">
        <v>53</v>
      </c>
      <c r="C162" s="2" t="s">
        <v>24</v>
      </c>
      <c r="D162" s="2" t="s">
        <v>15</v>
      </c>
      <c r="E162" s="3">
        <v>1622.62</v>
      </c>
      <c r="F162" s="3">
        <v>12</v>
      </c>
      <c r="G162" s="3">
        <v>0.2</v>
      </c>
      <c r="H162" s="4">
        <v>45677</v>
      </c>
      <c r="I162" s="3">
        <v>649.04999999999995</v>
      </c>
      <c r="J162">
        <f t="shared" si="19"/>
        <v>0.15000000000000002</v>
      </c>
      <c r="K162">
        <f>I156+E156*(G156-J156)</f>
        <v>437.64600000000002</v>
      </c>
      <c r="L162">
        <f>SUM(I156:I355)</f>
        <v>16970.169999999998</v>
      </c>
    </row>
    <row r="163" spans="1:12" ht="15.75" hidden="1" thickBot="1" x14ac:dyDescent="0.3">
      <c r="A163" s="2" t="s">
        <v>75</v>
      </c>
      <c r="B163" s="2" t="s">
        <v>48</v>
      </c>
      <c r="C163" s="2" t="s">
        <v>24</v>
      </c>
      <c r="D163" s="2" t="s">
        <v>12</v>
      </c>
      <c r="E163" s="3">
        <v>640.64</v>
      </c>
      <c r="F163" s="3">
        <v>11</v>
      </c>
      <c r="G163" s="3">
        <v>0.2</v>
      </c>
      <c r="H163" s="4">
        <v>45678</v>
      </c>
      <c r="I163" s="3">
        <v>205</v>
      </c>
      <c r="J163">
        <f t="shared" ref="J163:J194" si="23">MAX(0,G162-5%)</f>
        <v>0.15000000000000002</v>
      </c>
      <c r="K163">
        <f t="shared" si="22"/>
        <v>544.54399999999998</v>
      </c>
    </row>
    <row r="164" spans="1:12" ht="15.75" hidden="1" thickBot="1" x14ac:dyDescent="0.3">
      <c r="A164" s="2" t="s">
        <v>22</v>
      </c>
      <c r="B164" s="2" t="s">
        <v>43</v>
      </c>
      <c r="C164" s="2" t="s">
        <v>11</v>
      </c>
      <c r="D164" s="2" t="s">
        <v>15</v>
      </c>
      <c r="E164" s="3">
        <v>585.16</v>
      </c>
      <c r="F164" s="3">
        <v>17</v>
      </c>
      <c r="G164" s="3">
        <v>0.1</v>
      </c>
      <c r="H164" s="4">
        <v>45684</v>
      </c>
      <c r="I164" s="3">
        <v>263.32</v>
      </c>
      <c r="J164">
        <f t="shared" si="23"/>
        <v>0.15000000000000002</v>
      </c>
      <c r="K164">
        <f t="shared" si="22"/>
        <v>497.38599999999997</v>
      </c>
    </row>
    <row r="165" spans="1:12" ht="15.75" hidden="1" thickBot="1" x14ac:dyDescent="0.3">
      <c r="A165" s="2" t="s">
        <v>22</v>
      </c>
      <c r="B165" s="2" t="s">
        <v>31</v>
      </c>
      <c r="C165" s="2" t="s">
        <v>18</v>
      </c>
      <c r="D165" s="2" t="s">
        <v>15</v>
      </c>
      <c r="E165" s="3">
        <v>1109.98</v>
      </c>
      <c r="F165" s="3">
        <v>5</v>
      </c>
      <c r="G165" s="3">
        <v>0.2</v>
      </c>
      <c r="H165" s="4">
        <v>45690</v>
      </c>
      <c r="I165" s="3">
        <v>443.99</v>
      </c>
      <c r="J165">
        <f t="shared" si="23"/>
        <v>0.05</v>
      </c>
      <c r="K165">
        <f t="shared" si="22"/>
        <v>1054.481</v>
      </c>
    </row>
    <row r="166" spans="1:12" ht="15.75" hidden="1" thickBot="1" x14ac:dyDescent="0.3">
      <c r="A166" s="2" t="s">
        <v>58</v>
      </c>
      <c r="B166" s="2" t="s">
        <v>45</v>
      </c>
      <c r="C166" s="2" t="s">
        <v>18</v>
      </c>
      <c r="D166" s="2" t="s">
        <v>12</v>
      </c>
      <c r="E166" s="3">
        <v>1098.08</v>
      </c>
      <c r="F166" s="3">
        <v>9</v>
      </c>
      <c r="G166" s="3">
        <v>0.1</v>
      </c>
      <c r="H166" s="4">
        <v>45692</v>
      </c>
      <c r="I166" s="3">
        <v>395.31</v>
      </c>
      <c r="J166">
        <f t="shared" si="23"/>
        <v>0.15000000000000002</v>
      </c>
      <c r="K166">
        <f t="shared" si="22"/>
        <v>933.36799999999994</v>
      </c>
    </row>
    <row r="167" spans="1:12" ht="15.75" hidden="1" thickBot="1" x14ac:dyDescent="0.3">
      <c r="A167" s="2" t="s">
        <v>65</v>
      </c>
      <c r="B167" s="2" t="s">
        <v>48</v>
      </c>
      <c r="C167" s="2" t="s">
        <v>11</v>
      </c>
      <c r="D167" s="2" t="s">
        <v>39</v>
      </c>
      <c r="E167" s="3">
        <v>827.25</v>
      </c>
      <c r="F167" s="3">
        <v>7</v>
      </c>
      <c r="G167" s="3">
        <v>0.1</v>
      </c>
      <c r="H167" s="4">
        <v>45693</v>
      </c>
      <c r="I167" s="3">
        <v>335.04</v>
      </c>
      <c r="J167">
        <f t="shared" si="23"/>
        <v>0.05</v>
      </c>
      <c r="K167">
        <f t="shared" si="22"/>
        <v>785.88749999999993</v>
      </c>
    </row>
    <row r="168" spans="1:12" ht="15.75" hidden="1" thickBot="1" x14ac:dyDescent="0.3">
      <c r="A168" s="2" t="s">
        <v>70</v>
      </c>
      <c r="B168" s="2" t="s">
        <v>29</v>
      </c>
      <c r="C168" s="2" t="s">
        <v>34</v>
      </c>
      <c r="D168" s="2" t="s">
        <v>15</v>
      </c>
      <c r="E168" s="3">
        <v>741.88</v>
      </c>
      <c r="F168" s="3">
        <v>16</v>
      </c>
      <c r="G168" s="3">
        <v>0.1</v>
      </c>
      <c r="H168" s="4">
        <v>45695</v>
      </c>
      <c r="I168" s="3">
        <v>333.85</v>
      </c>
      <c r="J168">
        <f t="shared" si="23"/>
        <v>0.05</v>
      </c>
      <c r="K168">
        <f t="shared" si="22"/>
        <v>704.78599999999994</v>
      </c>
    </row>
    <row r="169" spans="1:12" ht="15.75" thickBot="1" x14ac:dyDescent="0.3">
      <c r="A169" s="2" t="s">
        <v>72</v>
      </c>
      <c r="B169" s="2" t="s">
        <v>10</v>
      </c>
      <c r="C169" s="2" t="s">
        <v>18</v>
      </c>
      <c r="D169" s="2" t="s">
        <v>39</v>
      </c>
      <c r="E169" s="3">
        <v>1311.26</v>
      </c>
      <c r="F169" s="3">
        <v>6</v>
      </c>
      <c r="G169" s="3">
        <v>0.1</v>
      </c>
      <c r="H169" s="4">
        <v>45698</v>
      </c>
      <c r="I169" s="3">
        <v>531.05999999999995</v>
      </c>
      <c r="J169">
        <f t="shared" si="23"/>
        <v>0.05</v>
      </c>
      <c r="K169">
        <f>I163+E163*(G163-J163)</f>
        <v>237.03199999999998</v>
      </c>
      <c r="L169">
        <f>SUM(I163:I362)</f>
        <v>13977.789999999999</v>
      </c>
    </row>
    <row r="170" spans="1:12" ht="15.75" hidden="1" thickBot="1" x14ac:dyDescent="0.3">
      <c r="A170" s="2" t="s">
        <v>72</v>
      </c>
      <c r="B170" s="2" t="s">
        <v>31</v>
      </c>
      <c r="C170" s="2" t="s">
        <v>20</v>
      </c>
      <c r="D170" s="2" t="s">
        <v>39</v>
      </c>
      <c r="E170" s="3">
        <v>573.32000000000005</v>
      </c>
      <c r="F170" s="3">
        <v>19</v>
      </c>
      <c r="G170" s="3">
        <v>0.1</v>
      </c>
      <c r="H170" s="4">
        <v>45703</v>
      </c>
      <c r="I170" s="3">
        <v>232.19</v>
      </c>
      <c r="J170">
        <f t="shared" si="23"/>
        <v>0.05</v>
      </c>
      <c r="K170">
        <f t="shared" si="22"/>
        <v>544.654</v>
      </c>
    </row>
    <row r="171" spans="1:12" ht="15.75" hidden="1" thickBot="1" x14ac:dyDescent="0.3">
      <c r="A171" s="2" t="s">
        <v>52</v>
      </c>
      <c r="B171" s="2" t="s">
        <v>23</v>
      </c>
      <c r="C171" s="2" t="s">
        <v>11</v>
      </c>
      <c r="D171" s="2" t="s">
        <v>21</v>
      </c>
      <c r="E171" s="3">
        <v>1115.22</v>
      </c>
      <c r="F171" s="3">
        <v>14</v>
      </c>
      <c r="G171" s="3">
        <v>0.2</v>
      </c>
      <c r="H171" s="4">
        <v>45705</v>
      </c>
      <c r="I171" s="3">
        <v>223.04</v>
      </c>
      <c r="J171">
        <f t="shared" si="23"/>
        <v>0.05</v>
      </c>
      <c r="K171">
        <f t="shared" si="22"/>
        <v>1059.4590000000001</v>
      </c>
    </row>
    <row r="172" spans="1:12" ht="15.75" hidden="1" thickBot="1" x14ac:dyDescent="0.3">
      <c r="A172" s="2" t="s">
        <v>13</v>
      </c>
      <c r="B172" s="2" t="s">
        <v>45</v>
      </c>
      <c r="C172" s="2" t="s">
        <v>24</v>
      </c>
      <c r="D172" s="2" t="s">
        <v>15</v>
      </c>
      <c r="E172" s="3">
        <v>845.84</v>
      </c>
      <c r="F172" s="3">
        <v>4</v>
      </c>
      <c r="G172" s="3">
        <v>0</v>
      </c>
      <c r="H172" s="4">
        <v>45707</v>
      </c>
      <c r="I172" s="3">
        <v>422.92</v>
      </c>
      <c r="J172">
        <f t="shared" si="23"/>
        <v>0.15000000000000002</v>
      </c>
      <c r="K172">
        <f t="shared" si="22"/>
        <v>718.96400000000006</v>
      </c>
    </row>
    <row r="173" spans="1:12" ht="15.75" hidden="1" thickBot="1" x14ac:dyDescent="0.3">
      <c r="A173" s="2" t="s">
        <v>30</v>
      </c>
      <c r="B173" s="2" t="s">
        <v>55</v>
      </c>
      <c r="C173" s="2" t="s">
        <v>11</v>
      </c>
      <c r="D173" s="2" t="s">
        <v>21</v>
      </c>
      <c r="E173" s="3">
        <v>1029.8</v>
      </c>
      <c r="F173" s="3">
        <v>3</v>
      </c>
      <c r="G173" s="3">
        <v>0</v>
      </c>
      <c r="H173" s="4">
        <v>45708</v>
      </c>
      <c r="I173" s="3">
        <v>257.45</v>
      </c>
      <c r="J173">
        <f t="shared" si="23"/>
        <v>0</v>
      </c>
      <c r="K173">
        <f t="shared" si="22"/>
        <v>1029.8</v>
      </c>
    </row>
    <row r="174" spans="1:12" ht="15.75" hidden="1" thickBot="1" x14ac:dyDescent="0.3">
      <c r="A174" s="2" t="s">
        <v>32</v>
      </c>
      <c r="B174" s="2" t="s">
        <v>31</v>
      </c>
      <c r="C174" s="2" t="s">
        <v>24</v>
      </c>
      <c r="D174" s="2" t="s">
        <v>12</v>
      </c>
      <c r="E174" s="3">
        <v>1189.83</v>
      </c>
      <c r="F174" s="3">
        <v>2</v>
      </c>
      <c r="G174" s="3">
        <v>0.2</v>
      </c>
      <c r="H174" s="4">
        <v>45709</v>
      </c>
      <c r="I174" s="3">
        <v>380.75</v>
      </c>
      <c r="J174">
        <f t="shared" si="23"/>
        <v>0</v>
      </c>
      <c r="K174">
        <f t="shared" si="22"/>
        <v>1189.83</v>
      </c>
    </row>
    <row r="175" spans="1:12" ht="15.75" hidden="1" thickBot="1" x14ac:dyDescent="0.3">
      <c r="A175" s="2" t="s">
        <v>67</v>
      </c>
      <c r="B175" s="2" t="s">
        <v>43</v>
      </c>
      <c r="C175" s="2" t="s">
        <v>20</v>
      </c>
      <c r="D175" s="2" t="s">
        <v>12</v>
      </c>
      <c r="E175" s="3">
        <v>704.28</v>
      </c>
      <c r="F175" s="3">
        <v>15</v>
      </c>
      <c r="G175" s="3">
        <v>0.2</v>
      </c>
      <c r="H175" s="4">
        <v>45712</v>
      </c>
      <c r="I175" s="3">
        <v>225.37</v>
      </c>
      <c r="J175">
        <f t="shared" si="23"/>
        <v>0.15000000000000002</v>
      </c>
      <c r="K175">
        <f t="shared" si="22"/>
        <v>598.63799999999992</v>
      </c>
    </row>
    <row r="176" spans="1:12" ht="15.75" thickBot="1" x14ac:dyDescent="0.3">
      <c r="A176" s="2" t="s">
        <v>65</v>
      </c>
      <c r="B176" s="2" t="s">
        <v>47</v>
      </c>
      <c r="C176" s="2" t="s">
        <v>34</v>
      </c>
      <c r="D176" s="2" t="s">
        <v>39</v>
      </c>
      <c r="E176" s="3">
        <v>1618.22</v>
      </c>
      <c r="F176" s="3">
        <v>12</v>
      </c>
      <c r="G176" s="3">
        <v>0.2</v>
      </c>
      <c r="H176" s="4">
        <v>45712</v>
      </c>
      <c r="I176" s="3">
        <v>582.55999999999995</v>
      </c>
      <c r="J176">
        <f t="shared" si="23"/>
        <v>0.15000000000000002</v>
      </c>
      <c r="K176">
        <f>I170+E170*(G170-J170)</f>
        <v>260.85599999999999</v>
      </c>
      <c r="L176">
        <f>SUM(I170:I369)</f>
        <v>11470.22</v>
      </c>
    </row>
    <row r="177" spans="1:12" ht="15.75" hidden="1" thickBot="1" x14ac:dyDescent="0.3">
      <c r="A177" s="2" t="s">
        <v>73</v>
      </c>
      <c r="B177" s="2" t="s">
        <v>53</v>
      </c>
      <c r="C177" s="2" t="s">
        <v>34</v>
      </c>
      <c r="D177" s="2" t="s">
        <v>12</v>
      </c>
      <c r="E177" s="3">
        <v>1014.43</v>
      </c>
      <c r="F177" s="3">
        <v>2</v>
      </c>
      <c r="G177" s="3">
        <v>0.15</v>
      </c>
      <c r="H177" s="4">
        <v>45713</v>
      </c>
      <c r="I177" s="3">
        <v>344.91</v>
      </c>
      <c r="J177">
        <f t="shared" si="23"/>
        <v>0.15000000000000002</v>
      </c>
      <c r="K177">
        <f t="shared" si="22"/>
        <v>862.26549999999997</v>
      </c>
    </row>
    <row r="178" spans="1:12" ht="15.75" hidden="1" thickBot="1" x14ac:dyDescent="0.3">
      <c r="A178" s="2" t="s">
        <v>75</v>
      </c>
      <c r="B178" s="2" t="s">
        <v>31</v>
      </c>
      <c r="C178" s="2" t="s">
        <v>34</v>
      </c>
      <c r="D178" s="2" t="s">
        <v>15</v>
      </c>
      <c r="E178" s="3">
        <v>826.97</v>
      </c>
      <c r="F178" s="3">
        <v>18</v>
      </c>
      <c r="G178" s="3">
        <v>0.2</v>
      </c>
      <c r="H178" s="4">
        <v>45715</v>
      </c>
      <c r="I178" s="3">
        <v>330.79</v>
      </c>
      <c r="J178">
        <f t="shared" si="23"/>
        <v>9.9999999999999992E-2</v>
      </c>
      <c r="K178">
        <f t="shared" si="22"/>
        <v>744.27300000000002</v>
      </c>
    </row>
    <row r="179" spans="1:12" ht="15.75" hidden="1" thickBot="1" x14ac:dyDescent="0.3">
      <c r="A179" s="2" t="s">
        <v>16</v>
      </c>
      <c r="B179" s="2" t="s">
        <v>31</v>
      </c>
      <c r="C179" s="2" t="s">
        <v>34</v>
      </c>
      <c r="D179" s="2" t="s">
        <v>15</v>
      </c>
      <c r="E179" s="3">
        <v>1022.23</v>
      </c>
      <c r="F179" s="3">
        <v>8</v>
      </c>
      <c r="G179" s="3">
        <v>0.1</v>
      </c>
      <c r="H179" s="4">
        <v>45717</v>
      </c>
      <c r="I179" s="3">
        <v>460</v>
      </c>
      <c r="J179">
        <f t="shared" si="23"/>
        <v>0.15000000000000002</v>
      </c>
      <c r="K179">
        <f t="shared" si="22"/>
        <v>868.89549999999997</v>
      </c>
    </row>
    <row r="180" spans="1:12" ht="15.75" hidden="1" thickBot="1" x14ac:dyDescent="0.3">
      <c r="A180" s="2" t="s">
        <v>72</v>
      </c>
      <c r="B180" s="2" t="s">
        <v>29</v>
      </c>
      <c r="C180" s="2" t="s">
        <v>18</v>
      </c>
      <c r="D180" s="2" t="s">
        <v>12</v>
      </c>
      <c r="E180" s="3">
        <v>1099.69</v>
      </c>
      <c r="F180" s="3">
        <v>6</v>
      </c>
      <c r="G180" s="3">
        <v>0</v>
      </c>
      <c r="H180" s="4">
        <v>45718</v>
      </c>
      <c r="I180" s="3">
        <v>439.88</v>
      </c>
      <c r="J180">
        <f t="shared" si="23"/>
        <v>0.05</v>
      </c>
      <c r="K180">
        <f t="shared" si="22"/>
        <v>1044.7055</v>
      </c>
    </row>
    <row r="181" spans="1:12" ht="15.75" hidden="1" thickBot="1" x14ac:dyDescent="0.3">
      <c r="A181" s="2" t="s">
        <v>52</v>
      </c>
      <c r="B181" s="2" t="s">
        <v>64</v>
      </c>
      <c r="C181" s="2" t="s">
        <v>24</v>
      </c>
      <c r="D181" s="2" t="s">
        <v>12</v>
      </c>
      <c r="E181" s="3">
        <v>710.52</v>
      </c>
      <c r="F181" s="3">
        <v>8</v>
      </c>
      <c r="G181" s="3">
        <v>0.1</v>
      </c>
      <c r="H181" s="4">
        <v>45721</v>
      </c>
      <c r="I181" s="3">
        <v>255.79</v>
      </c>
      <c r="J181">
        <f t="shared" si="23"/>
        <v>0</v>
      </c>
      <c r="K181">
        <f t="shared" si="22"/>
        <v>710.52</v>
      </c>
    </row>
    <row r="182" spans="1:12" ht="15.75" hidden="1" thickBot="1" x14ac:dyDescent="0.3">
      <c r="A182" s="2" t="s">
        <v>52</v>
      </c>
      <c r="B182" s="2" t="s">
        <v>59</v>
      </c>
      <c r="C182" s="2" t="s">
        <v>24</v>
      </c>
      <c r="D182" s="2" t="s">
        <v>12</v>
      </c>
      <c r="E182" s="3">
        <v>499.18</v>
      </c>
      <c r="F182" s="3">
        <v>15</v>
      </c>
      <c r="G182" s="3">
        <v>0.2</v>
      </c>
      <c r="H182" s="4">
        <v>45724</v>
      </c>
      <c r="I182" s="3">
        <v>159.74</v>
      </c>
      <c r="J182">
        <f t="shared" si="23"/>
        <v>0.05</v>
      </c>
      <c r="K182">
        <f t="shared" si="22"/>
        <v>474.221</v>
      </c>
    </row>
    <row r="183" spans="1:12" ht="15.75" hidden="1" thickBot="1" x14ac:dyDescent="0.3">
      <c r="A183" s="2" t="s">
        <v>37</v>
      </c>
      <c r="B183" s="2" t="s">
        <v>38</v>
      </c>
      <c r="C183" s="2" t="s">
        <v>20</v>
      </c>
      <c r="D183" s="2" t="s">
        <v>12</v>
      </c>
      <c r="E183" s="3">
        <v>1064.19</v>
      </c>
      <c r="F183" s="3">
        <v>18</v>
      </c>
      <c r="G183" s="3">
        <v>0.05</v>
      </c>
      <c r="H183" s="4">
        <v>45725</v>
      </c>
      <c r="I183" s="3">
        <v>404.39</v>
      </c>
      <c r="J183">
        <f t="shared" si="23"/>
        <v>0.15000000000000002</v>
      </c>
      <c r="K183">
        <f t="shared" si="22"/>
        <v>904.56150000000002</v>
      </c>
    </row>
    <row r="184" spans="1:12" ht="15.75" hidden="1" thickBot="1" x14ac:dyDescent="0.3">
      <c r="A184" s="2" t="s">
        <v>67</v>
      </c>
      <c r="B184" s="2" t="s">
        <v>38</v>
      </c>
      <c r="C184" s="2" t="s">
        <v>18</v>
      </c>
      <c r="D184" s="2" t="s">
        <v>39</v>
      </c>
      <c r="E184" s="3">
        <v>438.76</v>
      </c>
      <c r="F184" s="3">
        <v>18</v>
      </c>
      <c r="G184" s="3">
        <v>0.05</v>
      </c>
      <c r="H184" s="4">
        <v>45726</v>
      </c>
      <c r="I184" s="3">
        <v>187.57</v>
      </c>
      <c r="J184">
        <f t="shared" si="23"/>
        <v>0</v>
      </c>
      <c r="K184">
        <f t="shared" si="22"/>
        <v>438.76</v>
      </c>
    </row>
    <row r="185" spans="1:12" ht="15.75" hidden="1" thickBot="1" x14ac:dyDescent="0.3">
      <c r="A185" s="2" t="s">
        <v>41</v>
      </c>
      <c r="B185" s="2" t="s">
        <v>55</v>
      </c>
      <c r="C185" s="2" t="s">
        <v>11</v>
      </c>
      <c r="D185" s="2" t="s">
        <v>15</v>
      </c>
      <c r="E185" s="3">
        <v>864.98</v>
      </c>
      <c r="F185" s="3">
        <v>2</v>
      </c>
      <c r="G185" s="3">
        <v>0.05</v>
      </c>
      <c r="H185" s="4">
        <v>45727</v>
      </c>
      <c r="I185" s="3">
        <v>410.87</v>
      </c>
      <c r="J185">
        <f t="shared" si="23"/>
        <v>0</v>
      </c>
      <c r="K185">
        <f t="shared" si="22"/>
        <v>864.98</v>
      </c>
    </row>
    <row r="186" spans="1:12" ht="15.75" hidden="1" thickBot="1" x14ac:dyDescent="0.3">
      <c r="A186" s="2" t="s">
        <v>57</v>
      </c>
      <c r="B186" s="2" t="s">
        <v>55</v>
      </c>
      <c r="C186" s="2" t="s">
        <v>11</v>
      </c>
      <c r="D186" s="2" t="s">
        <v>27</v>
      </c>
      <c r="E186" s="3">
        <v>984.93</v>
      </c>
      <c r="F186" s="3">
        <v>14</v>
      </c>
      <c r="G186" s="3">
        <v>0.2</v>
      </c>
      <c r="H186" s="4">
        <v>45733</v>
      </c>
      <c r="I186" s="3">
        <v>275.77999999999997</v>
      </c>
      <c r="J186">
        <f t="shared" si="23"/>
        <v>0</v>
      </c>
      <c r="K186">
        <f t="shared" si="22"/>
        <v>984.93</v>
      </c>
    </row>
    <row r="187" spans="1:12" ht="15.75" thickBot="1" x14ac:dyDescent="0.3">
      <c r="A187" s="2" t="s">
        <v>25</v>
      </c>
      <c r="B187" s="2" t="s">
        <v>55</v>
      </c>
      <c r="C187" s="2" t="s">
        <v>11</v>
      </c>
      <c r="D187" s="2" t="s">
        <v>15</v>
      </c>
      <c r="E187" s="3">
        <v>1493.49</v>
      </c>
      <c r="F187" s="3">
        <v>18</v>
      </c>
      <c r="G187" s="3">
        <v>0</v>
      </c>
      <c r="H187" s="4">
        <v>45734</v>
      </c>
      <c r="I187" s="3">
        <v>746.74</v>
      </c>
      <c r="J187">
        <f t="shared" si="23"/>
        <v>0.15000000000000002</v>
      </c>
      <c r="K187">
        <f>I181+E181*(G181-J181)</f>
        <v>326.84199999999998</v>
      </c>
      <c r="L187">
        <f>SUM(I181:I380)</f>
        <v>7570.3600000000006</v>
      </c>
    </row>
    <row r="188" spans="1:12" ht="15.75" hidden="1" thickBot="1" x14ac:dyDescent="0.3">
      <c r="A188" s="2" t="s">
        <v>32</v>
      </c>
      <c r="B188" s="2" t="s">
        <v>53</v>
      </c>
      <c r="C188" s="2" t="s">
        <v>20</v>
      </c>
      <c r="D188" s="2" t="s">
        <v>15</v>
      </c>
      <c r="E188" s="3">
        <v>689.43</v>
      </c>
      <c r="F188" s="3">
        <v>9</v>
      </c>
      <c r="G188" s="3">
        <v>0.1</v>
      </c>
      <c r="H188" s="4">
        <v>45736</v>
      </c>
      <c r="I188" s="3">
        <v>310.24</v>
      </c>
      <c r="J188">
        <f t="shared" si="23"/>
        <v>0</v>
      </c>
      <c r="K188">
        <f t="shared" si="22"/>
        <v>689.43</v>
      </c>
    </row>
    <row r="189" spans="1:12" ht="15.75" hidden="1" thickBot="1" x14ac:dyDescent="0.3">
      <c r="A189" s="2" t="s">
        <v>40</v>
      </c>
      <c r="B189" s="2" t="s">
        <v>59</v>
      </c>
      <c r="C189" s="2" t="s">
        <v>20</v>
      </c>
      <c r="D189" s="2" t="s">
        <v>15</v>
      </c>
      <c r="E189" s="3">
        <v>682.24</v>
      </c>
      <c r="F189" s="3">
        <v>1</v>
      </c>
      <c r="G189" s="3">
        <v>0</v>
      </c>
      <c r="H189" s="4">
        <v>45738</v>
      </c>
      <c r="I189" s="3">
        <v>341.12</v>
      </c>
      <c r="J189">
        <f t="shared" si="23"/>
        <v>0.05</v>
      </c>
      <c r="K189">
        <f t="shared" si="22"/>
        <v>648.12799999999993</v>
      </c>
    </row>
    <row r="190" spans="1:12" ht="15.75" hidden="1" thickBot="1" x14ac:dyDescent="0.3">
      <c r="A190" s="2" t="s">
        <v>41</v>
      </c>
      <c r="B190" s="2" t="s">
        <v>26</v>
      </c>
      <c r="C190" s="2" t="s">
        <v>24</v>
      </c>
      <c r="D190" s="2" t="s">
        <v>21</v>
      </c>
      <c r="E190" s="3">
        <v>458.54</v>
      </c>
      <c r="F190" s="3">
        <v>15</v>
      </c>
      <c r="G190" s="3">
        <v>0.2</v>
      </c>
      <c r="H190" s="4">
        <v>45741</v>
      </c>
      <c r="I190" s="3">
        <v>91.71</v>
      </c>
      <c r="J190">
        <f t="shared" si="23"/>
        <v>0</v>
      </c>
      <c r="K190">
        <f t="shared" si="22"/>
        <v>458.54</v>
      </c>
    </row>
    <row r="191" spans="1:12" ht="15.75" hidden="1" thickBot="1" x14ac:dyDescent="0.3">
      <c r="A191" s="2" t="s">
        <v>32</v>
      </c>
      <c r="B191" s="2" t="s">
        <v>26</v>
      </c>
      <c r="C191" s="2" t="s">
        <v>20</v>
      </c>
      <c r="D191" s="2" t="s">
        <v>27</v>
      </c>
      <c r="E191" s="3">
        <v>1184.25</v>
      </c>
      <c r="F191" s="3">
        <v>11</v>
      </c>
      <c r="G191" s="3">
        <v>0.2</v>
      </c>
      <c r="H191" s="4">
        <v>45742</v>
      </c>
      <c r="I191" s="3">
        <v>331.59</v>
      </c>
      <c r="J191">
        <f t="shared" si="23"/>
        <v>0.15000000000000002</v>
      </c>
      <c r="K191">
        <f t="shared" si="22"/>
        <v>1006.6125</v>
      </c>
    </row>
    <row r="192" spans="1:12" ht="15.75" hidden="1" thickBot="1" x14ac:dyDescent="0.3">
      <c r="A192" s="2" t="s">
        <v>25</v>
      </c>
      <c r="B192" s="2" t="s">
        <v>10</v>
      </c>
      <c r="C192" s="2" t="s">
        <v>20</v>
      </c>
      <c r="D192" s="2" t="s">
        <v>15</v>
      </c>
      <c r="E192" s="3">
        <v>762.14</v>
      </c>
      <c r="F192" s="3">
        <v>9</v>
      </c>
      <c r="G192" s="3">
        <v>0</v>
      </c>
      <c r="H192" s="4">
        <v>45743</v>
      </c>
      <c r="I192" s="3">
        <v>381.07</v>
      </c>
      <c r="J192">
        <f t="shared" si="23"/>
        <v>0.15000000000000002</v>
      </c>
      <c r="K192">
        <f t="shared" si="22"/>
        <v>647.81899999999996</v>
      </c>
    </row>
    <row r="193" spans="1:12" ht="15.75" hidden="1" thickBot="1" x14ac:dyDescent="0.3">
      <c r="A193" s="2" t="s">
        <v>22</v>
      </c>
      <c r="B193" s="2" t="s">
        <v>53</v>
      </c>
      <c r="C193" s="2" t="s">
        <v>24</v>
      </c>
      <c r="D193" s="2" t="s">
        <v>12</v>
      </c>
      <c r="E193" s="3">
        <v>750.71</v>
      </c>
      <c r="F193" s="3">
        <v>10</v>
      </c>
      <c r="G193" s="3">
        <v>0.15</v>
      </c>
      <c r="H193" s="4">
        <v>45743</v>
      </c>
      <c r="I193" s="3">
        <v>255.24</v>
      </c>
      <c r="J193">
        <f t="shared" si="23"/>
        <v>0</v>
      </c>
      <c r="K193">
        <f t="shared" si="22"/>
        <v>750.71</v>
      </c>
    </row>
    <row r="194" spans="1:12" ht="15.75" thickBot="1" x14ac:dyDescent="0.3">
      <c r="A194" s="2" t="s">
        <v>75</v>
      </c>
      <c r="B194" s="2" t="s">
        <v>71</v>
      </c>
      <c r="C194" s="2" t="s">
        <v>34</v>
      </c>
      <c r="D194" s="2" t="s">
        <v>15</v>
      </c>
      <c r="E194" s="3">
        <v>1456.94</v>
      </c>
      <c r="F194" s="3">
        <v>14</v>
      </c>
      <c r="G194" s="3">
        <v>0.05</v>
      </c>
      <c r="H194" s="4">
        <v>45745</v>
      </c>
      <c r="I194" s="3">
        <v>692.05</v>
      </c>
      <c r="J194">
        <f t="shared" si="23"/>
        <v>9.9999999999999992E-2</v>
      </c>
      <c r="K194">
        <f>I188+E188*(G188-J188)</f>
        <v>379.18299999999999</v>
      </c>
      <c r="L194">
        <f>SUM(I188:I387)</f>
        <v>5129.4799999999996</v>
      </c>
    </row>
    <row r="195" spans="1:12" ht="15.75" hidden="1" thickBot="1" x14ac:dyDescent="0.3">
      <c r="A195" s="2" t="s">
        <v>44</v>
      </c>
      <c r="B195" s="2" t="s">
        <v>61</v>
      </c>
      <c r="C195" s="2" t="s">
        <v>18</v>
      </c>
      <c r="D195" s="2" t="s">
        <v>27</v>
      </c>
      <c r="E195" s="3">
        <v>1093.3800000000001</v>
      </c>
      <c r="F195" s="3">
        <v>17</v>
      </c>
      <c r="G195" s="3">
        <v>0.1</v>
      </c>
      <c r="H195" s="4">
        <v>45745</v>
      </c>
      <c r="I195" s="3">
        <v>344.41</v>
      </c>
      <c r="J195">
        <f t="shared" ref="J195:J202" si="24">MAX(0,G194-5%)</f>
        <v>0</v>
      </c>
      <c r="K195">
        <f t="shared" si="22"/>
        <v>1093.3800000000001</v>
      </c>
    </row>
    <row r="196" spans="1:12" ht="15.75" hidden="1" thickBot="1" x14ac:dyDescent="0.3">
      <c r="A196" s="2" t="s">
        <v>37</v>
      </c>
      <c r="B196" s="2" t="s">
        <v>43</v>
      </c>
      <c r="C196" s="2" t="s">
        <v>11</v>
      </c>
      <c r="D196" s="2" t="s">
        <v>15</v>
      </c>
      <c r="E196" s="3">
        <v>934.27</v>
      </c>
      <c r="F196" s="3">
        <v>8</v>
      </c>
      <c r="G196" s="3">
        <v>0.15</v>
      </c>
      <c r="H196" s="4">
        <v>45746</v>
      </c>
      <c r="I196" s="3">
        <v>397.06</v>
      </c>
      <c r="J196">
        <f t="shared" si="24"/>
        <v>0.05</v>
      </c>
      <c r="K196">
        <f t="shared" si="22"/>
        <v>887.55649999999991</v>
      </c>
    </row>
    <row r="197" spans="1:12" ht="15.75" thickBot="1" x14ac:dyDescent="0.3">
      <c r="A197" s="2" t="s">
        <v>70</v>
      </c>
      <c r="B197" s="2" t="s">
        <v>36</v>
      </c>
      <c r="C197" s="2" t="s">
        <v>34</v>
      </c>
      <c r="D197" s="2" t="s">
        <v>15</v>
      </c>
      <c r="E197" s="3">
        <v>1465.35</v>
      </c>
      <c r="F197" s="3">
        <v>8</v>
      </c>
      <c r="G197" s="3">
        <v>0.2</v>
      </c>
      <c r="H197" s="4">
        <v>45746</v>
      </c>
      <c r="I197" s="3">
        <v>586.14</v>
      </c>
      <c r="J197">
        <f t="shared" si="24"/>
        <v>9.9999999999999992E-2</v>
      </c>
      <c r="K197">
        <f>I191+E191*(G191-J191)</f>
        <v>390.80249999999995</v>
      </c>
      <c r="L197">
        <f>SUM(I191:I390)</f>
        <v>4386.41</v>
      </c>
    </row>
    <row r="198" spans="1:12" ht="15.75" hidden="1" thickBot="1" x14ac:dyDescent="0.3">
      <c r="A198" s="2" t="s">
        <v>52</v>
      </c>
      <c r="B198" s="2" t="s">
        <v>14</v>
      </c>
      <c r="C198" s="2" t="s">
        <v>20</v>
      </c>
      <c r="D198" s="2" t="s">
        <v>39</v>
      </c>
      <c r="E198" s="3">
        <v>740.8</v>
      </c>
      <c r="F198" s="3">
        <v>3</v>
      </c>
      <c r="G198" s="3">
        <v>0</v>
      </c>
      <c r="H198" s="4">
        <v>45749</v>
      </c>
      <c r="I198" s="3">
        <v>333.36</v>
      </c>
      <c r="J198">
        <f t="shared" si="24"/>
        <v>0.15000000000000002</v>
      </c>
      <c r="K198">
        <f t="shared" si="22"/>
        <v>629.67999999999995</v>
      </c>
    </row>
    <row r="199" spans="1:12" ht="15.75" hidden="1" thickBot="1" x14ac:dyDescent="0.3">
      <c r="A199" s="2" t="s">
        <v>58</v>
      </c>
      <c r="B199" s="2" t="s">
        <v>43</v>
      </c>
      <c r="C199" s="2" t="s">
        <v>11</v>
      </c>
      <c r="D199" s="2" t="s">
        <v>39</v>
      </c>
      <c r="E199" s="3">
        <v>545.44000000000005</v>
      </c>
      <c r="F199" s="3">
        <v>17</v>
      </c>
      <c r="G199" s="3">
        <v>0</v>
      </c>
      <c r="H199" s="4">
        <v>45752</v>
      </c>
      <c r="I199" s="3">
        <v>245.45</v>
      </c>
      <c r="J199">
        <f t="shared" si="24"/>
        <v>0</v>
      </c>
      <c r="K199">
        <f t="shared" si="22"/>
        <v>545.44000000000005</v>
      </c>
    </row>
    <row r="200" spans="1:12" ht="15.75" hidden="1" thickBot="1" x14ac:dyDescent="0.3">
      <c r="A200" s="2" t="s">
        <v>35</v>
      </c>
      <c r="B200" s="2" t="s">
        <v>36</v>
      </c>
      <c r="C200" s="2" t="s">
        <v>18</v>
      </c>
      <c r="D200" s="2" t="s">
        <v>12</v>
      </c>
      <c r="E200" s="3">
        <v>997.61</v>
      </c>
      <c r="F200" s="3">
        <v>8</v>
      </c>
      <c r="G200" s="3">
        <v>0.05</v>
      </c>
      <c r="H200" s="4">
        <v>45752</v>
      </c>
      <c r="I200" s="3">
        <v>379.09</v>
      </c>
      <c r="J200">
        <f t="shared" si="24"/>
        <v>0</v>
      </c>
      <c r="K200">
        <f t="shared" si="22"/>
        <v>997.61</v>
      </c>
    </row>
    <row r="201" spans="1:12" ht="15.75" hidden="1" thickBot="1" x14ac:dyDescent="0.3">
      <c r="A201" s="2" t="s">
        <v>60</v>
      </c>
      <c r="B201" s="2" t="s">
        <v>36</v>
      </c>
      <c r="C201" s="2" t="s">
        <v>20</v>
      </c>
      <c r="D201" s="2" t="s">
        <v>15</v>
      </c>
      <c r="E201" s="3">
        <v>928.32</v>
      </c>
      <c r="F201" s="3">
        <v>2</v>
      </c>
      <c r="G201" s="3">
        <v>0.05</v>
      </c>
      <c r="H201" s="4">
        <v>45754</v>
      </c>
      <c r="I201" s="3">
        <v>440.95</v>
      </c>
      <c r="J201">
        <f t="shared" si="24"/>
        <v>0</v>
      </c>
      <c r="K201">
        <f t="shared" si="22"/>
        <v>928.32</v>
      </c>
    </row>
    <row r="202" spans="1:12" hidden="1" x14ac:dyDescent="0.25">
      <c r="J202">
        <f t="shared" si="24"/>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D6026-5BAC-4B84-B7AB-85974E8B40F5}">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5F59F-8479-4481-BC63-EE7E549D10B3}">
  <dimension ref="A1:L204"/>
  <sheetViews>
    <sheetView topLeftCell="A30" workbookViewId="0">
      <selection activeCell="A3" sqref="A3:L204"/>
    </sheetView>
  </sheetViews>
  <sheetFormatPr defaultRowHeight="15" x14ac:dyDescent="0.25"/>
  <cols>
    <col min="1" max="1" width="15.140625" bestFit="1" customWidth="1"/>
    <col min="2" max="2" width="18.5703125" bestFit="1" customWidth="1"/>
    <col min="3" max="3" width="9.5703125" bestFit="1" customWidth="1"/>
    <col min="4" max="4" width="19.5703125" bestFit="1" customWidth="1"/>
    <col min="5" max="5" width="9.28515625" bestFit="1" customWidth="1"/>
    <col min="6" max="6" width="11" bestFit="1" customWidth="1"/>
    <col min="7" max="7" width="11.42578125" bestFit="1" customWidth="1"/>
    <col min="8" max="8" width="13.5703125" bestFit="1" customWidth="1"/>
    <col min="9" max="9" width="9.28515625" bestFit="1" customWidth="1"/>
    <col min="10" max="10" width="15.7109375" bestFit="1" customWidth="1"/>
    <col min="11" max="11" width="18.42578125" bestFit="1" customWidth="1"/>
    <col min="12" max="12" width="9.28515625" bestFit="1" customWidth="1"/>
  </cols>
  <sheetData>
    <row r="1" spans="1:12" x14ac:dyDescent="0.25">
      <c r="A1" s="6" t="s">
        <v>141</v>
      </c>
    </row>
    <row r="3" spans="1:12" x14ac:dyDescent="0.25">
      <c r="A3" t="s">
        <v>0</v>
      </c>
      <c r="B3" t="s">
        <v>1</v>
      </c>
      <c r="C3" t="s">
        <v>2</v>
      </c>
      <c r="D3" t="s">
        <v>3</v>
      </c>
      <c r="E3" t="s">
        <v>4</v>
      </c>
      <c r="F3" t="s">
        <v>5</v>
      </c>
      <c r="G3" t="s">
        <v>6</v>
      </c>
      <c r="H3" t="s">
        <v>7</v>
      </c>
      <c r="I3" t="s">
        <v>8</v>
      </c>
      <c r="J3" t="s">
        <v>76</v>
      </c>
      <c r="K3" t="s">
        <v>77</v>
      </c>
      <c r="L3" t="s">
        <v>140</v>
      </c>
    </row>
    <row r="4" spans="1:12" x14ac:dyDescent="0.25">
      <c r="A4" t="s">
        <v>28</v>
      </c>
      <c r="B4" t="s">
        <v>29</v>
      </c>
      <c r="C4" t="s">
        <v>11</v>
      </c>
      <c r="D4" t="s">
        <v>21</v>
      </c>
      <c r="E4">
        <v>1317.53</v>
      </c>
      <c r="F4">
        <v>12</v>
      </c>
      <c r="G4">
        <v>0.05</v>
      </c>
      <c r="H4" s="29">
        <v>45398</v>
      </c>
      <c r="I4">
        <v>312.91000000000003</v>
      </c>
      <c r="J4">
        <v>0.05</v>
      </c>
      <c r="K4">
        <v>383.35449999999997</v>
      </c>
      <c r="L4">
        <v>68287.010000000009</v>
      </c>
    </row>
    <row r="5" spans="1:12" x14ac:dyDescent="0.25">
      <c r="A5" t="s">
        <v>28</v>
      </c>
      <c r="B5" t="s">
        <v>45</v>
      </c>
      <c r="C5" t="s">
        <v>11</v>
      </c>
      <c r="D5" t="s">
        <v>12</v>
      </c>
      <c r="E5">
        <v>636.70000000000005</v>
      </c>
      <c r="F5">
        <v>4</v>
      </c>
      <c r="G5">
        <v>0.2</v>
      </c>
      <c r="H5" s="29">
        <v>45411</v>
      </c>
      <c r="I5">
        <v>203.74</v>
      </c>
      <c r="J5">
        <v>9.9999999999999992E-2</v>
      </c>
      <c r="K5">
        <v>573.03000000000009</v>
      </c>
    </row>
    <row r="6" spans="1:12" x14ac:dyDescent="0.25">
      <c r="A6" t="s">
        <v>28</v>
      </c>
      <c r="B6" t="s">
        <v>47</v>
      </c>
      <c r="C6" t="s">
        <v>11</v>
      </c>
      <c r="D6" t="s">
        <v>27</v>
      </c>
      <c r="E6">
        <v>853.72</v>
      </c>
      <c r="F6">
        <v>5</v>
      </c>
      <c r="G6">
        <v>0.15</v>
      </c>
      <c r="H6" s="29">
        <v>45428</v>
      </c>
      <c r="I6">
        <v>253.98</v>
      </c>
      <c r="J6">
        <v>0</v>
      </c>
      <c r="K6">
        <v>853.72</v>
      </c>
    </row>
    <row r="7" spans="1:12" x14ac:dyDescent="0.25">
      <c r="A7" t="s">
        <v>28</v>
      </c>
      <c r="B7" t="s">
        <v>45</v>
      </c>
      <c r="C7" t="s">
        <v>24</v>
      </c>
      <c r="D7" t="s">
        <v>27</v>
      </c>
      <c r="E7">
        <v>1077.92</v>
      </c>
      <c r="F7">
        <v>3</v>
      </c>
      <c r="G7">
        <v>0.05</v>
      </c>
      <c r="H7" s="29">
        <v>45608</v>
      </c>
      <c r="I7">
        <v>358.41</v>
      </c>
      <c r="J7">
        <v>0</v>
      </c>
      <c r="K7">
        <v>1077.92</v>
      </c>
    </row>
    <row r="8" spans="1:12" x14ac:dyDescent="0.25">
      <c r="A8" t="s">
        <v>28</v>
      </c>
      <c r="B8" t="s">
        <v>43</v>
      </c>
      <c r="C8" t="s">
        <v>11</v>
      </c>
      <c r="D8" t="s">
        <v>21</v>
      </c>
      <c r="E8">
        <v>894.55</v>
      </c>
      <c r="F8">
        <v>19</v>
      </c>
      <c r="G8">
        <v>0.2</v>
      </c>
      <c r="H8" s="29">
        <v>45625</v>
      </c>
      <c r="I8">
        <v>178.91</v>
      </c>
      <c r="J8">
        <v>0</v>
      </c>
      <c r="K8">
        <v>894.55</v>
      </c>
    </row>
    <row r="9" spans="1:12" x14ac:dyDescent="0.25">
      <c r="A9" t="s">
        <v>28</v>
      </c>
      <c r="B9" t="s">
        <v>26</v>
      </c>
      <c r="C9" t="s">
        <v>34</v>
      </c>
      <c r="D9" t="s">
        <v>27</v>
      </c>
      <c r="E9">
        <v>1432.47</v>
      </c>
      <c r="F9">
        <v>16</v>
      </c>
      <c r="G9">
        <v>0.15</v>
      </c>
      <c r="H9" s="29">
        <v>45640</v>
      </c>
      <c r="I9">
        <v>426.16</v>
      </c>
      <c r="J9">
        <v>0</v>
      </c>
      <c r="K9">
        <v>212.208</v>
      </c>
      <c r="L9">
        <v>23623.530000000006</v>
      </c>
    </row>
    <row r="10" spans="1:12" x14ac:dyDescent="0.25">
      <c r="A10" t="s">
        <v>28</v>
      </c>
      <c r="B10" t="s">
        <v>71</v>
      </c>
      <c r="C10" t="s">
        <v>24</v>
      </c>
      <c r="D10" t="s">
        <v>15</v>
      </c>
      <c r="E10">
        <v>336.66</v>
      </c>
      <c r="F10">
        <v>13</v>
      </c>
      <c r="G10">
        <v>0.2</v>
      </c>
      <c r="H10" s="29">
        <v>45651</v>
      </c>
      <c r="I10">
        <v>134.66</v>
      </c>
      <c r="J10">
        <v>9.9999999999999992E-2</v>
      </c>
      <c r="K10">
        <v>302.99400000000003</v>
      </c>
    </row>
    <row r="11" spans="1:12" x14ac:dyDescent="0.25">
      <c r="A11" t="s">
        <v>65</v>
      </c>
      <c r="B11" t="s">
        <v>48</v>
      </c>
      <c r="C11" t="s">
        <v>11</v>
      </c>
      <c r="D11" t="s">
        <v>12</v>
      </c>
      <c r="E11">
        <v>942.9</v>
      </c>
      <c r="F11">
        <v>18</v>
      </c>
      <c r="G11">
        <v>0.1</v>
      </c>
      <c r="H11" s="29">
        <v>45466</v>
      </c>
      <c r="I11">
        <v>339.44</v>
      </c>
      <c r="J11">
        <v>0</v>
      </c>
      <c r="K11">
        <v>942.9</v>
      </c>
    </row>
    <row r="12" spans="1:12" x14ac:dyDescent="0.25">
      <c r="A12" t="s">
        <v>65</v>
      </c>
      <c r="B12" t="s">
        <v>31</v>
      </c>
      <c r="C12" t="s">
        <v>20</v>
      </c>
      <c r="D12" t="s">
        <v>12</v>
      </c>
      <c r="E12">
        <v>876.44</v>
      </c>
      <c r="F12">
        <v>12</v>
      </c>
      <c r="G12">
        <v>0.05</v>
      </c>
      <c r="H12" s="29">
        <v>45488</v>
      </c>
      <c r="I12">
        <v>333.05</v>
      </c>
      <c r="J12">
        <v>9.9999999999999992E-2</v>
      </c>
      <c r="K12">
        <v>788.79600000000005</v>
      </c>
    </row>
    <row r="13" spans="1:12" x14ac:dyDescent="0.25">
      <c r="A13" t="s">
        <v>65</v>
      </c>
      <c r="B13" t="s">
        <v>50</v>
      </c>
      <c r="C13" t="s">
        <v>18</v>
      </c>
      <c r="D13" t="s">
        <v>21</v>
      </c>
      <c r="E13">
        <v>1410.59</v>
      </c>
      <c r="F13">
        <v>15</v>
      </c>
      <c r="G13">
        <v>0</v>
      </c>
      <c r="H13" s="29">
        <v>45615</v>
      </c>
      <c r="I13">
        <v>352.65</v>
      </c>
      <c r="J13">
        <v>9.9999999999999992E-2</v>
      </c>
      <c r="K13">
        <v>412.30600000000004</v>
      </c>
      <c r="L13">
        <v>28067.600000000002</v>
      </c>
    </row>
    <row r="14" spans="1:12" x14ac:dyDescent="0.25">
      <c r="A14" t="s">
        <v>65</v>
      </c>
      <c r="B14" t="s">
        <v>61</v>
      </c>
      <c r="C14" t="s">
        <v>20</v>
      </c>
      <c r="D14" t="s">
        <v>27</v>
      </c>
      <c r="E14">
        <v>806.03</v>
      </c>
      <c r="F14">
        <v>19</v>
      </c>
      <c r="G14">
        <v>0.05</v>
      </c>
      <c r="H14" s="29">
        <v>45638</v>
      </c>
      <c r="I14">
        <v>268</v>
      </c>
      <c r="J14">
        <v>0</v>
      </c>
      <c r="K14">
        <v>806.03</v>
      </c>
    </row>
    <row r="15" spans="1:12" x14ac:dyDescent="0.25">
      <c r="A15" t="s">
        <v>65</v>
      </c>
      <c r="B15" t="s">
        <v>48</v>
      </c>
      <c r="C15" t="s">
        <v>11</v>
      </c>
      <c r="D15" t="s">
        <v>39</v>
      </c>
      <c r="E15">
        <v>827.25</v>
      </c>
      <c r="F15">
        <v>7</v>
      </c>
      <c r="G15">
        <v>0.1</v>
      </c>
      <c r="H15" s="29">
        <v>45693</v>
      </c>
      <c r="I15">
        <v>335.04</v>
      </c>
      <c r="J15">
        <v>0.05</v>
      </c>
      <c r="K15">
        <v>785.88749999999993</v>
      </c>
    </row>
    <row r="16" spans="1:12" x14ac:dyDescent="0.25">
      <c r="A16" t="s">
        <v>65</v>
      </c>
      <c r="B16" t="s">
        <v>47</v>
      </c>
      <c r="C16" t="s">
        <v>34</v>
      </c>
      <c r="D16" t="s">
        <v>39</v>
      </c>
      <c r="E16">
        <v>1618.22</v>
      </c>
      <c r="F16">
        <v>12</v>
      </c>
      <c r="G16">
        <v>0.2</v>
      </c>
      <c r="H16" s="29">
        <v>45712</v>
      </c>
      <c r="I16">
        <v>582.55999999999995</v>
      </c>
      <c r="J16">
        <v>0.15000000000000002</v>
      </c>
      <c r="K16">
        <v>260.85599999999999</v>
      </c>
      <c r="L16">
        <v>11470.22</v>
      </c>
    </row>
    <row r="17" spans="1:12" x14ac:dyDescent="0.25">
      <c r="A17" t="s">
        <v>67</v>
      </c>
      <c r="B17" t="s">
        <v>38</v>
      </c>
      <c r="C17" t="s">
        <v>24</v>
      </c>
      <c r="D17" t="s">
        <v>12</v>
      </c>
      <c r="E17">
        <v>1248.82</v>
      </c>
      <c r="F17">
        <v>2</v>
      </c>
      <c r="G17">
        <v>0.1</v>
      </c>
      <c r="H17" s="29">
        <v>45473</v>
      </c>
      <c r="I17">
        <v>449.58</v>
      </c>
      <c r="J17">
        <v>0.15000000000000002</v>
      </c>
      <c r="K17">
        <v>326.08350000000002</v>
      </c>
      <c r="L17">
        <v>51822.219999999979</v>
      </c>
    </row>
    <row r="18" spans="1:12" x14ac:dyDescent="0.25">
      <c r="A18" t="s">
        <v>67</v>
      </c>
      <c r="B18" t="s">
        <v>10</v>
      </c>
      <c r="C18" t="s">
        <v>11</v>
      </c>
      <c r="D18" t="s">
        <v>21</v>
      </c>
      <c r="E18">
        <v>1005.53</v>
      </c>
      <c r="F18">
        <v>17</v>
      </c>
      <c r="G18">
        <v>0.2</v>
      </c>
      <c r="H18" s="29">
        <v>45481</v>
      </c>
      <c r="I18">
        <v>201.11</v>
      </c>
      <c r="J18">
        <v>0.05</v>
      </c>
      <c r="K18">
        <v>955.25349999999992</v>
      </c>
    </row>
    <row r="19" spans="1:12" x14ac:dyDescent="0.25">
      <c r="A19" t="s">
        <v>67</v>
      </c>
      <c r="B19" t="s">
        <v>23</v>
      </c>
      <c r="C19" t="s">
        <v>24</v>
      </c>
      <c r="D19" t="s">
        <v>27</v>
      </c>
      <c r="E19">
        <v>1034.7</v>
      </c>
      <c r="F19">
        <v>15</v>
      </c>
      <c r="G19">
        <v>0.15</v>
      </c>
      <c r="H19" s="29">
        <v>45487</v>
      </c>
      <c r="I19">
        <v>307.82</v>
      </c>
      <c r="J19">
        <v>0</v>
      </c>
      <c r="K19">
        <v>1034.7</v>
      </c>
    </row>
    <row r="20" spans="1:12" x14ac:dyDescent="0.25">
      <c r="A20" t="s">
        <v>67</v>
      </c>
      <c r="B20" t="s">
        <v>10</v>
      </c>
      <c r="C20" t="s">
        <v>20</v>
      </c>
      <c r="D20" t="s">
        <v>21</v>
      </c>
      <c r="E20">
        <v>1335.87</v>
      </c>
      <c r="F20">
        <v>17</v>
      </c>
      <c r="G20">
        <v>0</v>
      </c>
      <c r="H20" s="29">
        <v>45544</v>
      </c>
      <c r="I20">
        <v>333.97</v>
      </c>
      <c r="J20">
        <v>0.05</v>
      </c>
      <c r="K20">
        <v>710.30700000000002</v>
      </c>
      <c r="L20">
        <v>43210.289999999994</v>
      </c>
    </row>
    <row r="21" spans="1:12" x14ac:dyDescent="0.25">
      <c r="A21" t="s">
        <v>67</v>
      </c>
      <c r="B21" t="s">
        <v>23</v>
      </c>
      <c r="C21" t="s">
        <v>11</v>
      </c>
      <c r="D21" t="s">
        <v>21</v>
      </c>
      <c r="E21">
        <v>1158.94</v>
      </c>
      <c r="F21">
        <v>19</v>
      </c>
      <c r="G21">
        <v>0.2</v>
      </c>
      <c r="H21" s="29">
        <v>45553</v>
      </c>
      <c r="I21">
        <v>231.79</v>
      </c>
      <c r="J21">
        <v>9.9999999999999992E-2</v>
      </c>
      <c r="K21">
        <v>1043.046</v>
      </c>
    </row>
    <row r="22" spans="1:12" x14ac:dyDescent="0.25">
      <c r="A22" t="s">
        <v>67</v>
      </c>
      <c r="B22" t="s">
        <v>23</v>
      </c>
      <c r="C22" t="s">
        <v>34</v>
      </c>
      <c r="D22" t="s">
        <v>15</v>
      </c>
      <c r="E22">
        <v>902.19</v>
      </c>
      <c r="F22">
        <v>12</v>
      </c>
      <c r="G22">
        <v>0</v>
      </c>
      <c r="H22" s="29">
        <v>45564</v>
      </c>
      <c r="I22">
        <v>451.1</v>
      </c>
      <c r="J22">
        <v>0.15000000000000002</v>
      </c>
      <c r="K22">
        <v>766.86149999999998</v>
      </c>
    </row>
    <row r="23" spans="1:12" x14ac:dyDescent="0.25">
      <c r="A23" t="s">
        <v>67</v>
      </c>
      <c r="B23" t="s">
        <v>69</v>
      </c>
      <c r="C23" t="s">
        <v>24</v>
      </c>
      <c r="D23" t="s">
        <v>15</v>
      </c>
      <c r="E23">
        <v>661.09</v>
      </c>
      <c r="F23">
        <v>1</v>
      </c>
      <c r="G23">
        <v>0.2</v>
      </c>
      <c r="H23" s="29">
        <v>45593</v>
      </c>
      <c r="I23">
        <v>264.44</v>
      </c>
      <c r="J23">
        <v>0</v>
      </c>
      <c r="K23">
        <v>661.09</v>
      </c>
    </row>
    <row r="24" spans="1:12" x14ac:dyDescent="0.25">
      <c r="A24" t="s">
        <v>67</v>
      </c>
      <c r="B24" t="s">
        <v>43</v>
      </c>
      <c r="C24" t="s">
        <v>20</v>
      </c>
      <c r="D24" t="s">
        <v>12</v>
      </c>
      <c r="E24">
        <v>704.28</v>
      </c>
      <c r="F24">
        <v>15</v>
      </c>
      <c r="G24">
        <v>0.2</v>
      </c>
      <c r="H24" s="29">
        <v>45712</v>
      </c>
      <c r="I24">
        <v>225.37</v>
      </c>
      <c r="J24">
        <v>0.15000000000000002</v>
      </c>
      <c r="K24">
        <v>598.63799999999992</v>
      </c>
    </row>
    <row r="25" spans="1:12" x14ac:dyDescent="0.25">
      <c r="A25" t="s">
        <v>67</v>
      </c>
      <c r="B25" t="s">
        <v>38</v>
      </c>
      <c r="C25" t="s">
        <v>18</v>
      </c>
      <c r="D25" t="s">
        <v>39</v>
      </c>
      <c r="E25">
        <v>438.76</v>
      </c>
      <c r="F25">
        <v>18</v>
      </c>
      <c r="G25">
        <v>0.05</v>
      </c>
      <c r="H25" s="29">
        <v>45726</v>
      </c>
      <c r="I25">
        <v>187.57</v>
      </c>
      <c r="J25">
        <v>0</v>
      </c>
      <c r="K25">
        <v>438.76</v>
      </c>
    </row>
    <row r="26" spans="1:12" x14ac:dyDescent="0.25">
      <c r="A26" t="s">
        <v>72</v>
      </c>
      <c r="B26" t="s">
        <v>45</v>
      </c>
      <c r="C26" t="s">
        <v>24</v>
      </c>
      <c r="D26" t="s">
        <v>27</v>
      </c>
      <c r="E26">
        <v>518.07000000000005</v>
      </c>
      <c r="F26">
        <v>7</v>
      </c>
      <c r="G26">
        <v>0.05</v>
      </c>
      <c r="H26" s="29">
        <v>45522</v>
      </c>
      <c r="I26">
        <v>172.26</v>
      </c>
      <c r="J26">
        <v>0</v>
      </c>
      <c r="K26">
        <v>518.07000000000005</v>
      </c>
    </row>
    <row r="27" spans="1:12" x14ac:dyDescent="0.25">
      <c r="A27" t="s">
        <v>72</v>
      </c>
      <c r="B27" t="s">
        <v>64</v>
      </c>
      <c r="C27" t="s">
        <v>11</v>
      </c>
      <c r="D27" t="s">
        <v>39</v>
      </c>
      <c r="E27">
        <v>1443.98</v>
      </c>
      <c r="F27">
        <v>19</v>
      </c>
      <c r="G27">
        <v>0</v>
      </c>
      <c r="H27" s="29">
        <v>45547</v>
      </c>
      <c r="I27">
        <v>649.79</v>
      </c>
      <c r="J27">
        <v>0</v>
      </c>
      <c r="K27">
        <v>400.29</v>
      </c>
      <c r="L27">
        <v>42357.249999999993</v>
      </c>
    </row>
    <row r="28" spans="1:12" x14ac:dyDescent="0.25">
      <c r="A28" t="s">
        <v>72</v>
      </c>
      <c r="B28" t="s">
        <v>17</v>
      </c>
      <c r="C28" t="s">
        <v>34</v>
      </c>
      <c r="D28" t="s">
        <v>15</v>
      </c>
      <c r="E28">
        <v>1277.8499999999999</v>
      </c>
      <c r="F28">
        <v>18</v>
      </c>
      <c r="G28">
        <v>0.2</v>
      </c>
      <c r="H28" s="29">
        <v>45613</v>
      </c>
      <c r="I28">
        <v>511.14</v>
      </c>
      <c r="J28">
        <v>0</v>
      </c>
      <c r="K28">
        <v>495.18700000000001</v>
      </c>
      <c r="L28">
        <v>28729.500000000004</v>
      </c>
    </row>
    <row r="29" spans="1:12" x14ac:dyDescent="0.25">
      <c r="A29" t="s">
        <v>72</v>
      </c>
      <c r="B29" t="s">
        <v>31</v>
      </c>
      <c r="C29" t="s">
        <v>24</v>
      </c>
      <c r="D29" t="s">
        <v>15</v>
      </c>
      <c r="E29">
        <v>1589.42</v>
      </c>
      <c r="F29">
        <v>6</v>
      </c>
      <c r="G29">
        <v>0.15</v>
      </c>
      <c r="H29" s="29">
        <v>45651</v>
      </c>
      <c r="I29">
        <v>675.5</v>
      </c>
      <c r="J29">
        <v>0</v>
      </c>
      <c r="K29">
        <v>308.30150000000003</v>
      </c>
      <c r="L29">
        <v>22471.670000000006</v>
      </c>
    </row>
    <row r="30" spans="1:12" x14ac:dyDescent="0.25">
      <c r="A30" t="s">
        <v>72</v>
      </c>
      <c r="B30" t="s">
        <v>10</v>
      </c>
      <c r="C30" t="s">
        <v>18</v>
      </c>
      <c r="D30" t="s">
        <v>39</v>
      </c>
      <c r="E30">
        <v>1311.26</v>
      </c>
      <c r="F30">
        <v>6</v>
      </c>
      <c r="G30">
        <v>0.1</v>
      </c>
      <c r="H30" s="29">
        <v>45698</v>
      </c>
      <c r="I30">
        <v>531.05999999999995</v>
      </c>
      <c r="J30">
        <v>0.05</v>
      </c>
      <c r="K30">
        <v>237.03199999999998</v>
      </c>
      <c r="L30">
        <v>13977.789999999999</v>
      </c>
    </row>
    <row r="31" spans="1:12" x14ac:dyDescent="0.25">
      <c r="A31" t="s">
        <v>72</v>
      </c>
      <c r="B31" t="s">
        <v>31</v>
      </c>
      <c r="C31" t="s">
        <v>20</v>
      </c>
      <c r="D31" t="s">
        <v>39</v>
      </c>
      <c r="E31">
        <v>573.32000000000005</v>
      </c>
      <c r="F31">
        <v>19</v>
      </c>
      <c r="G31">
        <v>0.1</v>
      </c>
      <c r="H31" s="29">
        <v>45703</v>
      </c>
      <c r="I31">
        <v>232.19</v>
      </c>
      <c r="J31">
        <v>0.05</v>
      </c>
      <c r="K31">
        <v>544.654</v>
      </c>
    </row>
    <row r="32" spans="1:12" x14ac:dyDescent="0.25">
      <c r="A32" t="s">
        <v>72</v>
      </c>
      <c r="B32" t="s">
        <v>29</v>
      </c>
      <c r="C32" t="s">
        <v>18</v>
      </c>
      <c r="D32" t="s">
        <v>12</v>
      </c>
      <c r="E32">
        <v>1099.69</v>
      </c>
      <c r="F32">
        <v>6</v>
      </c>
      <c r="G32">
        <v>0</v>
      </c>
      <c r="H32" s="29">
        <v>45718</v>
      </c>
      <c r="I32">
        <v>439.88</v>
      </c>
      <c r="J32">
        <v>0.05</v>
      </c>
      <c r="K32">
        <v>1044.7055</v>
      </c>
    </row>
    <row r="33" spans="1:12" x14ac:dyDescent="0.25">
      <c r="A33" t="s">
        <v>19</v>
      </c>
      <c r="B33" t="s">
        <v>14</v>
      </c>
      <c r="C33" t="s">
        <v>20</v>
      </c>
      <c r="D33" t="s">
        <v>21</v>
      </c>
      <c r="E33">
        <v>760.93</v>
      </c>
      <c r="F33">
        <v>4</v>
      </c>
      <c r="G33">
        <v>0.15</v>
      </c>
      <c r="H33" s="29">
        <v>45396</v>
      </c>
      <c r="I33">
        <v>161.69999999999999</v>
      </c>
      <c r="J33">
        <v>0</v>
      </c>
      <c r="K33">
        <v>760.93</v>
      </c>
    </row>
    <row r="34" spans="1:12" x14ac:dyDescent="0.25">
      <c r="A34" t="s">
        <v>19</v>
      </c>
      <c r="B34" t="s">
        <v>43</v>
      </c>
      <c r="C34" t="s">
        <v>20</v>
      </c>
      <c r="D34" t="s">
        <v>21</v>
      </c>
      <c r="E34">
        <v>1502.93</v>
      </c>
      <c r="F34">
        <v>14</v>
      </c>
      <c r="G34">
        <v>0.2</v>
      </c>
      <c r="H34" s="29">
        <v>45410</v>
      </c>
      <c r="I34">
        <v>300.58999999999997</v>
      </c>
      <c r="J34">
        <v>9.9999999999999992E-2</v>
      </c>
      <c r="K34">
        <v>387.08550000000002</v>
      </c>
      <c r="L34">
        <v>65688.340000000026</v>
      </c>
    </row>
    <row r="35" spans="1:12" x14ac:dyDescent="0.25">
      <c r="A35" t="s">
        <v>19</v>
      </c>
      <c r="B35" t="s">
        <v>42</v>
      </c>
      <c r="C35" t="s">
        <v>20</v>
      </c>
      <c r="D35" t="s">
        <v>12</v>
      </c>
      <c r="E35">
        <v>1151.21</v>
      </c>
      <c r="F35">
        <v>15</v>
      </c>
      <c r="G35">
        <v>0.1</v>
      </c>
      <c r="H35" s="29">
        <v>45445</v>
      </c>
      <c r="I35">
        <v>414.44</v>
      </c>
      <c r="J35">
        <v>9.9999999999999992E-2</v>
      </c>
      <c r="K35">
        <v>1036.0890000000002</v>
      </c>
    </row>
    <row r="36" spans="1:12" x14ac:dyDescent="0.25">
      <c r="A36" t="s">
        <v>19</v>
      </c>
      <c r="B36" t="s">
        <v>14</v>
      </c>
      <c r="C36" t="s">
        <v>20</v>
      </c>
      <c r="D36" t="s">
        <v>27</v>
      </c>
      <c r="E36">
        <v>919.04</v>
      </c>
      <c r="F36">
        <v>10</v>
      </c>
      <c r="G36">
        <v>0.2</v>
      </c>
      <c r="H36" s="29">
        <v>45468</v>
      </c>
      <c r="I36">
        <v>257.33</v>
      </c>
      <c r="J36">
        <v>9.9999999999999992E-2</v>
      </c>
      <c r="K36">
        <v>827.13599999999997</v>
      </c>
    </row>
    <row r="37" spans="1:12" x14ac:dyDescent="0.25">
      <c r="A37" t="s">
        <v>19</v>
      </c>
      <c r="B37" t="s">
        <v>53</v>
      </c>
      <c r="C37" t="s">
        <v>34</v>
      </c>
      <c r="D37" t="s">
        <v>27</v>
      </c>
      <c r="E37">
        <v>1261.3399999999999</v>
      </c>
      <c r="F37">
        <v>3</v>
      </c>
      <c r="G37">
        <v>0</v>
      </c>
      <c r="H37" s="29">
        <v>45519</v>
      </c>
      <c r="I37">
        <v>441.47</v>
      </c>
      <c r="J37">
        <v>9.9999999999999992E-2</v>
      </c>
      <c r="K37">
        <v>174.99299999999999</v>
      </c>
      <c r="L37">
        <v>45845.899999999994</v>
      </c>
    </row>
    <row r="38" spans="1:12" x14ac:dyDescent="0.25">
      <c r="A38" t="s">
        <v>19</v>
      </c>
      <c r="B38" t="s">
        <v>48</v>
      </c>
      <c r="C38" t="s">
        <v>34</v>
      </c>
      <c r="D38" t="s">
        <v>12</v>
      </c>
      <c r="E38">
        <v>1070.68</v>
      </c>
      <c r="F38">
        <v>7</v>
      </c>
      <c r="G38">
        <v>0.05</v>
      </c>
      <c r="H38" s="29">
        <v>45536</v>
      </c>
      <c r="I38">
        <v>406.86</v>
      </c>
      <c r="J38">
        <v>0.05</v>
      </c>
      <c r="K38">
        <v>1017.146</v>
      </c>
    </row>
    <row r="39" spans="1:12" x14ac:dyDescent="0.25">
      <c r="A39" t="s">
        <v>46</v>
      </c>
      <c r="B39" t="s">
        <v>47</v>
      </c>
      <c r="C39" t="s">
        <v>11</v>
      </c>
      <c r="D39" t="s">
        <v>12</v>
      </c>
      <c r="E39">
        <v>1506.14</v>
      </c>
      <c r="F39">
        <v>13</v>
      </c>
      <c r="G39">
        <v>0.2</v>
      </c>
      <c r="H39" s="29">
        <v>45412</v>
      </c>
      <c r="I39">
        <v>481.96</v>
      </c>
      <c r="J39">
        <v>0.15000000000000002</v>
      </c>
      <c r="K39">
        <v>393.221</v>
      </c>
      <c r="L39">
        <v>64209.080000000024</v>
      </c>
    </row>
    <row r="40" spans="1:12" x14ac:dyDescent="0.25">
      <c r="A40" t="s">
        <v>46</v>
      </c>
      <c r="B40" t="s">
        <v>71</v>
      </c>
      <c r="C40" t="s">
        <v>11</v>
      </c>
      <c r="D40" t="s">
        <v>27</v>
      </c>
      <c r="E40">
        <v>1193.6099999999999</v>
      </c>
      <c r="F40">
        <v>1</v>
      </c>
      <c r="G40">
        <v>0.15</v>
      </c>
      <c r="H40" s="29">
        <v>45584</v>
      </c>
      <c r="I40">
        <v>355.1</v>
      </c>
      <c r="J40">
        <v>0.05</v>
      </c>
      <c r="K40">
        <v>1133.9295</v>
      </c>
    </row>
    <row r="41" spans="1:12" x14ac:dyDescent="0.25">
      <c r="A41" t="s">
        <v>25</v>
      </c>
      <c r="B41" t="s">
        <v>26</v>
      </c>
      <c r="C41" t="s">
        <v>24</v>
      </c>
      <c r="D41" t="s">
        <v>27</v>
      </c>
      <c r="E41">
        <v>965.64</v>
      </c>
      <c r="F41">
        <v>8</v>
      </c>
      <c r="G41">
        <v>0.1</v>
      </c>
      <c r="H41" s="29">
        <v>45398</v>
      </c>
      <c r="I41">
        <v>304.18</v>
      </c>
      <c r="J41">
        <v>0.15000000000000002</v>
      </c>
      <c r="K41">
        <v>820.79399999999998</v>
      </c>
    </row>
    <row r="42" spans="1:12" x14ac:dyDescent="0.25">
      <c r="A42" t="s">
        <v>25</v>
      </c>
      <c r="B42" t="s">
        <v>26</v>
      </c>
      <c r="C42" t="s">
        <v>34</v>
      </c>
      <c r="D42" t="s">
        <v>12</v>
      </c>
      <c r="E42">
        <v>1191.58</v>
      </c>
      <c r="F42">
        <v>14</v>
      </c>
      <c r="G42">
        <v>0.05</v>
      </c>
      <c r="H42" s="29">
        <v>45406</v>
      </c>
      <c r="I42">
        <v>452.8</v>
      </c>
      <c r="J42">
        <v>9.9999999999999992E-2</v>
      </c>
      <c r="K42">
        <v>1072.422</v>
      </c>
    </row>
    <row r="43" spans="1:12" x14ac:dyDescent="0.25">
      <c r="A43" t="s">
        <v>25</v>
      </c>
      <c r="B43" t="s">
        <v>48</v>
      </c>
      <c r="C43" t="s">
        <v>20</v>
      </c>
      <c r="D43" t="s">
        <v>15</v>
      </c>
      <c r="E43">
        <v>953.3</v>
      </c>
      <c r="F43">
        <v>11</v>
      </c>
      <c r="G43">
        <v>0</v>
      </c>
      <c r="H43" s="29">
        <v>45415</v>
      </c>
      <c r="I43">
        <v>476.65</v>
      </c>
      <c r="J43">
        <v>0</v>
      </c>
      <c r="K43">
        <v>953.3</v>
      </c>
    </row>
    <row r="44" spans="1:12" x14ac:dyDescent="0.25">
      <c r="A44" t="s">
        <v>25</v>
      </c>
      <c r="B44" t="s">
        <v>14</v>
      </c>
      <c r="C44" t="s">
        <v>34</v>
      </c>
      <c r="D44" t="s">
        <v>12</v>
      </c>
      <c r="E44">
        <v>939.09</v>
      </c>
      <c r="F44">
        <v>2</v>
      </c>
      <c r="G44">
        <v>0.05</v>
      </c>
      <c r="H44" s="29">
        <v>45422</v>
      </c>
      <c r="I44">
        <v>356.85</v>
      </c>
      <c r="J44">
        <v>0</v>
      </c>
      <c r="K44">
        <v>939.09</v>
      </c>
    </row>
    <row r="45" spans="1:12" x14ac:dyDescent="0.25">
      <c r="A45" t="s">
        <v>25</v>
      </c>
      <c r="B45" t="s">
        <v>33</v>
      </c>
      <c r="C45" t="s">
        <v>20</v>
      </c>
      <c r="D45" t="s">
        <v>21</v>
      </c>
      <c r="E45">
        <v>1021.47</v>
      </c>
      <c r="F45">
        <v>6</v>
      </c>
      <c r="G45">
        <v>0.05</v>
      </c>
      <c r="H45" s="29">
        <v>45461</v>
      </c>
      <c r="I45">
        <v>242.6</v>
      </c>
      <c r="J45">
        <v>0.05</v>
      </c>
      <c r="K45">
        <v>970.39649999999995</v>
      </c>
    </row>
    <row r="46" spans="1:12" x14ac:dyDescent="0.25">
      <c r="A46" t="s">
        <v>25</v>
      </c>
      <c r="B46" t="s">
        <v>55</v>
      </c>
      <c r="C46" t="s">
        <v>24</v>
      </c>
      <c r="D46" t="s">
        <v>12</v>
      </c>
      <c r="E46">
        <v>679.71</v>
      </c>
      <c r="F46">
        <v>19</v>
      </c>
      <c r="G46">
        <v>0</v>
      </c>
      <c r="H46" s="29">
        <v>45534</v>
      </c>
      <c r="I46">
        <v>271.88</v>
      </c>
      <c r="J46">
        <v>0.05</v>
      </c>
      <c r="K46">
        <v>645.72450000000003</v>
      </c>
    </row>
    <row r="47" spans="1:12" x14ac:dyDescent="0.25">
      <c r="A47" t="s">
        <v>25</v>
      </c>
      <c r="B47" t="s">
        <v>66</v>
      </c>
      <c r="C47" t="s">
        <v>11</v>
      </c>
      <c r="D47" t="s">
        <v>27</v>
      </c>
      <c r="E47">
        <v>1101.55</v>
      </c>
      <c r="F47">
        <v>4</v>
      </c>
      <c r="G47">
        <v>0.1</v>
      </c>
      <c r="H47" s="29">
        <v>45551</v>
      </c>
      <c r="I47">
        <v>346.99</v>
      </c>
      <c r="J47">
        <v>0</v>
      </c>
      <c r="K47">
        <v>1101.55</v>
      </c>
    </row>
    <row r="48" spans="1:12" x14ac:dyDescent="0.25">
      <c r="A48" t="s">
        <v>25</v>
      </c>
      <c r="B48" t="s">
        <v>38</v>
      </c>
      <c r="C48" t="s">
        <v>24</v>
      </c>
      <c r="D48" t="s">
        <v>39</v>
      </c>
      <c r="E48">
        <v>833.91</v>
      </c>
      <c r="F48">
        <v>3</v>
      </c>
      <c r="G48">
        <v>0.05</v>
      </c>
      <c r="H48" s="29">
        <v>45626</v>
      </c>
      <c r="I48">
        <v>356.5</v>
      </c>
      <c r="J48">
        <v>0.15000000000000002</v>
      </c>
      <c r="K48">
        <v>708.82349999999997</v>
      </c>
    </row>
    <row r="49" spans="1:12" x14ac:dyDescent="0.25">
      <c r="A49" t="s">
        <v>25</v>
      </c>
      <c r="B49" t="s">
        <v>55</v>
      </c>
      <c r="C49" t="s">
        <v>11</v>
      </c>
      <c r="D49" t="s">
        <v>15</v>
      </c>
      <c r="E49">
        <v>1493.49</v>
      </c>
      <c r="F49">
        <v>18</v>
      </c>
      <c r="G49">
        <v>0</v>
      </c>
      <c r="H49" s="29">
        <v>45734</v>
      </c>
      <c r="I49">
        <v>746.74</v>
      </c>
      <c r="J49">
        <v>0.15000000000000002</v>
      </c>
      <c r="K49">
        <v>326.84199999999998</v>
      </c>
      <c r="L49">
        <v>7570.3600000000006</v>
      </c>
    </row>
    <row r="50" spans="1:12" x14ac:dyDescent="0.25">
      <c r="A50" t="s">
        <v>25</v>
      </c>
      <c r="B50" t="s">
        <v>10</v>
      </c>
      <c r="C50" t="s">
        <v>20</v>
      </c>
      <c r="D50" t="s">
        <v>15</v>
      </c>
      <c r="E50">
        <v>762.14</v>
      </c>
      <c r="F50">
        <v>9</v>
      </c>
      <c r="G50">
        <v>0</v>
      </c>
      <c r="H50" s="29">
        <v>45743</v>
      </c>
      <c r="I50">
        <v>381.07</v>
      </c>
      <c r="J50">
        <v>0.15000000000000002</v>
      </c>
      <c r="K50">
        <v>647.81899999999996</v>
      </c>
    </row>
    <row r="51" spans="1:12" x14ac:dyDescent="0.25">
      <c r="A51" t="s">
        <v>44</v>
      </c>
      <c r="B51" t="s">
        <v>14</v>
      </c>
      <c r="C51" t="s">
        <v>20</v>
      </c>
      <c r="D51" t="s">
        <v>12</v>
      </c>
      <c r="E51">
        <v>877.58</v>
      </c>
      <c r="F51">
        <v>10</v>
      </c>
      <c r="G51">
        <v>0.15</v>
      </c>
      <c r="H51" s="29">
        <v>45411</v>
      </c>
      <c r="I51">
        <v>298.38</v>
      </c>
      <c r="J51">
        <v>0.15000000000000002</v>
      </c>
      <c r="K51">
        <v>745.94299999999998</v>
      </c>
    </row>
    <row r="52" spans="1:12" x14ac:dyDescent="0.25">
      <c r="A52" t="s">
        <v>44</v>
      </c>
      <c r="B52" t="s">
        <v>59</v>
      </c>
      <c r="C52" t="s">
        <v>34</v>
      </c>
      <c r="D52" t="s">
        <v>27</v>
      </c>
      <c r="E52">
        <v>773.09</v>
      </c>
      <c r="F52">
        <v>13</v>
      </c>
      <c r="G52">
        <v>0.15</v>
      </c>
      <c r="H52" s="29">
        <v>45434</v>
      </c>
      <c r="I52">
        <v>229.99</v>
      </c>
      <c r="J52">
        <v>0</v>
      </c>
      <c r="K52">
        <v>773.09</v>
      </c>
    </row>
    <row r="53" spans="1:12" x14ac:dyDescent="0.25">
      <c r="A53" t="s">
        <v>44</v>
      </c>
      <c r="B53" t="s">
        <v>51</v>
      </c>
      <c r="C53" t="s">
        <v>20</v>
      </c>
      <c r="D53" t="s">
        <v>21</v>
      </c>
      <c r="E53">
        <v>775.45</v>
      </c>
      <c r="F53">
        <v>6</v>
      </c>
      <c r="G53">
        <v>0.1</v>
      </c>
      <c r="H53" s="29">
        <v>45457</v>
      </c>
      <c r="I53">
        <v>174.48</v>
      </c>
      <c r="J53">
        <v>0.15000000000000002</v>
      </c>
      <c r="K53">
        <v>659.13250000000005</v>
      </c>
    </row>
    <row r="54" spans="1:12" x14ac:dyDescent="0.25">
      <c r="A54" t="s">
        <v>44</v>
      </c>
      <c r="B54" t="s">
        <v>10</v>
      </c>
      <c r="C54" t="s">
        <v>34</v>
      </c>
      <c r="D54" t="s">
        <v>39</v>
      </c>
      <c r="E54">
        <v>804.81</v>
      </c>
      <c r="F54">
        <v>1</v>
      </c>
      <c r="G54">
        <v>0.05</v>
      </c>
      <c r="H54" s="29">
        <v>45502</v>
      </c>
      <c r="I54">
        <v>344.06</v>
      </c>
      <c r="J54">
        <v>0</v>
      </c>
      <c r="K54">
        <v>804.81</v>
      </c>
    </row>
    <row r="55" spans="1:12" x14ac:dyDescent="0.25">
      <c r="A55" t="s">
        <v>44</v>
      </c>
      <c r="B55" t="s">
        <v>56</v>
      </c>
      <c r="C55" t="s">
        <v>34</v>
      </c>
      <c r="D55" t="s">
        <v>21</v>
      </c>
      <c r="E55">
        <v>1014.09</v>
      </c>
      <c r="F55">
        <v>13</v>
      </c>
      <c r="G55">
        <v>0.2</v>
      </c>
      <c r="H55" s="29">
        <v>45567</v>
      </c>
      <c r="I55">
        <v>202.82</v>
      </c>
      <c r="J55">
        <v>0.05</v>
      </c>
      <c r="K55">
        <v>963.38549999999998</v>
      </c>
    </row>
    <row r="56" spans="1:12" x14ac:dyDescent="0.25">
      <c r="A56" t="s">
        <v>44</v>
      </c>
      <c r="B56" t="s">
        <v>23</v>
      </c>
      <c r="C56" t="s">
        <v>18</v>
      </c>
      <c r="D56" t="s">
        <v>12</v>
      </c>
      <c r="E56">
        <v>1081.1400000000001</v>
      </c>
      <c r="F56">
        <v>19</v>
      </c>
      <c r="G56">
        <v>0.15</v>
      </c>
      <c r="H56" s="29">
        <v>45577</v>
      </c>
      <c r="I56">
        <v>367.59</v>
      </c>
      <c r="J56">
        <v>0.15000000000000002</v>
      </c>
      <c r="K56">
        <v>918.96900000000005</v>
      </c>
    </row>
    <row r="57" spans="1:12" x14ac:dyDescent="0.25">
      <c r="A57" t="s">
        <v>44</v>
      </c>
      <c r="B57" t="s">
        <v>23</v>
      </c>
      <c r="C57" t="s">
        <v>18</v>
      </c>
      <c r="D57" t="s">
        <v>39</v>
      </c>
      <c r="E57">
        <v>1014.22</v>
      </c>
      <c r="F57">
        <v>14</v>
      </c>
      <c r="G57">
        <v>0.05</v>
      </c>
      <c r="H57" s="29">
        <v>45599</v>
      </c>
      <c r="I57">
        <v>433.58</v>
      </c>
      <c r="J57">
        <v>0</v>
      </c>
      <c r="K57">
        <v>1014.22</v>
      </c>
    </row>
    <row r="58" spans="1:12" x14ac:dyDescent="0.25">
      <c r="A58" t="s">
        <v>44</v>
      </c>
      <c r="B58" t="s">
        <v>45</v>
      </c>
      <c r="C58" t="s">
        <v>34</v>
      </c>
      <c r="D58" t="s">
        <v>15</v>
      </c>
      <c r="E58">
        <v>1076.33</v>
      </c>
      <c r="F58">
        <v>2</v>
      </c>
      <c r="G58">
        <v>0.1</v>
      </c>
      <c r="H58" s="29">
        <v>45674</v>
      </c>
      <c r="I58">
        <v>484.35</v>
      </c>
      <c r="J58">
        <v>0</v>
      </c>
      <c r="K58">
        <v>1076.33</v>
      </c>
    </row>
    <row r="59" spans="1:12" x14ac:dyDescent="0.25">
      <c r="A59" t="s">
        <v>44</v>
      </c>
      <c r="B59" t="s">
        <v>31</v>
      </c>
      <c r="C59" t="s">
        <v>34</v>
      </c>
      <c r="D59" t="s">
        <v>39</v>
      </c>
      <c r="E59">
        <v>1250.71</v>
      </c>
      <c r="F59">
        <v>7</v>
      </c>
      <c r="G59">
        <v>0</v>
      </c>
      <c r="H59" s="29">
        <v>45674</v>
      </c>
      <c r="I59">
        <v>562.82000000000005</v>
      </c>
      <c r="J59">
        <v>0.05</v>
      </c>
      <c r="K59">
        <v>329.78950000000003</v>
      </c>
      <c r="L59">
        <v>17813.16</v>
      </c>
    </row>
    <row r="60" spans="1:12" x14ac:dyDescent="0.25">
      <c r="A60" t="s">
        <v>44</v>
      </c>
      <c r="B60" t="s">
        <v>61</v>
      </c>
      <c r="C60" t="s">
        <v>18</v>
      </c>
      <c r="D60" t="s">
        <v>27</v>
      </c>
      <c r="E60">
        <v>1093.3800000000001</v>
      </c>
      <c r="F60">
        <v>17</v>
      </c>
      <c r="G60">
        <v>0.1</v>
      </c>
      <c r="H60" s="29">
        <v>45745</v>
      </c>
      <c r="I60">
        <v>344.41</v>
      </c>
      <c r="J60">
        <v>0</v>
      </c>
      <c r="K60">
        <v>1093.3800000000001</v>
      </c>
    </row>
    <row r="61" spans="1:12" x14ac:dyDescent="0.25">
      <c r="A61" t="s">
        <v>32</v>
      </c>
      <c r="B61" t="s">
        <v>33</v>
      </c>
      <c r="C61" t="s">
        <v>34</v>
      </c>
      <c r="D61" t="s">
        <v>12</v>
      </c>
      <c r="E61">
        <v>501.54</v>
      </c>
      <c r="F61">
        <v>11</v>
      </c>
      <c r="G61">
        <v>0.05</v>
      </c>
      <c r="H61" s="29">
        <v>45401</v>
      </c>
      <c r="I61">
        <v>190.59</v>
      </c>
      <c r="J61">
        <v>0.15000000000000002</v>
      </c>
      <c r="K61">
        <v>426.30900000000003</v>
      </c>
    </row>
    <row r="62" spans="1:12" x14ac:dyDescent="0.25">
      <c r="A62" t="s">
        <v>32</v>
      </c>
      <c r="B62" t="s">
        <v>38</v>
      </c>
      <c r="C62" t="s">
        <v>24</v>
      </c>
      <c r="D62" t="s">
        <v>21</v>
      </c>
      <c r="E62">
        <v>818.8</v>
      </c>
      <c r="F62">
        <v>15</v>
      </c>
      <c r="G62">
        <v>0.15</v>
      </c>
      <c r="H62" s="29">
        <v>45468</v>
      </c>
      <c r="I62">
        <v>173.99</v>
      </c>
      <c r="J62">
        <v>0.05</v>
      </c>
      <c r="K62">
        <v>777.8599999999999</v>
      </c>
    </row>
    <row r="63" spans="1:12" x14ac:dyDescent="0.25">
      <c r="A63" t="s">
        <v>32</v>
      </c>
      <c r="B63" t="s">
        <v>38</v>
      </c>
      <c r="C63" t="s">
        <v>20</v>
      </c>
      <c r="D63" t="s">
        <v>21</v>
      </c>
      <c r="E63">
        <v>771.02</v>
      </c>
      <c r="F63">
        <v>1</v>
      </c>
      <c r="G63">
        <v>0</v>
      </c>
      <c r="H63" s="29">
        <v>45585</v>
      </c>
      <c r="I63">
        <v>192.76</v>
      </c>
      <c r="J63">
        <v>9.9999999999999992E-2</v>
      </c>
      <c r="K63">
        <v>693.91800000000001</v>
      </c>
    </row>
    <row r="64" spans="1:12" x14ac:dyDescent="0.25">
      <c r="A64" t="s">
        <v>32</v>
      </c>
      <c r="B64" t="s">
        <v>61</v>
      </c>
      <c r="C64" t="s">
        <v>20</v>
      </c>
      <c r="D64" t="s">
        <v>27</v>
      </c>
      <c r="E64">
        <v>1350.33</v>
      </c>
      <c r="F64">
        <v>10</v>
      </c>
      <c r="G64">
        <v>0</v>
      </c>
      <c r="H64" s="29">
        <v>45615</v>
      </c>
      <c r="I64">
        <v>472.62</v>
      </c>
      <c r="J64">
        <v>0</v>
      </c>
      <c r="K64">
        <v>581.5</v>
      </c>
      <c r="L64">
        <v>27709.190000000002</v>
      </c>
    </row>
    <row r="65" spans="1:12" x14ac:dyDescent="0.25">
      <c r="A65" t="s">
        <v>32</v>
      </c>
      <c r="B65" t="s">
        <v>31</v>
      </c>
      <c r="C65" t="s">
        <v>24</v>
      </c>
      <c r="D65" t="s">
        <v>12</v>
      </c>
      <c r="E65">
        <v>1189.83</v>
      </c>
      <c r="F65">
        <v>2</v>
      </c>
      <c r="G65">
        <v>0.2</v>
      </c>
      <c r="H65" s="29">
        <v>45709</v>
      </c>
      <c r="I65">
        <v>380.75</v>
      </c>
      <c r="J65">
        <v>0</v>
      </c>
      <c r="K65">
        <v>1189.83</v>
      </c>
    </row>
    <row r="66" spans="1:12" x14ac:dyDescent="0.25">
      <c r="A66" t="s">
        <v>32</v>
      </c>
      <c r="B66" t="s">
        <v>53</v>
      </c>
      <c r="C66" t="s">
        <v>20</v>
      </c>
      <c r="D66" t="s">
        <v>15</v>
      </c>
      <c r="E66">
        <v>689.43</v>
      </c>
      <c r="F66">
        <v>9</v>
      </c>
      <c r="G66">
        <v>0.1</v>
      </c>
      <c r="H66" s="29">
        <v>45736</v>
      </c>
      <c r="I66">
        <v>310.24</v>
      </c>
      <c r="J66">
        <v>0</v>
      </c>
      <c r="K66">
        <v>689.43</v>
      </c>
    </row>
    <row r="67" spans="1:12" x14ac:dyDescent="0.25">
      <c r="A67" t="s">
        <v>32</v>
      </c>
      <c r="B67" t="s">
        <v>26</v>
      </c>
      <c r="C67" t="s">
        <v>20</v>
      </c>
      <c r="D67" t="s">
        <v>27</v>
      </c>
      <c r="E67">
        <v>1184.25</v>
      </c>
      <c r="F67">
        <v>11</v>
      </c>
      <c r="G67">
        <v>0.2</v>
      </c>
      <c r="H67" s="29">
        <v>45742</v>
      </c>
      <c r="I67">
        <v>331.59</v>
      </c>
      <c r="J67">
        <v>0.15000000000000002</v>
      </c>
      <c r="K67">
        <v>1006.6125</v>
      </c>
    </row>
    <row r="68" spans="1:12" x14ac:dyDescent="0.25">
      <c r="A68" t="s">
        <v>35</v>
      </c>
      <c r="B68" t="s">
        <v>36</v>
      </c>
      <c r="C68" t="s">
        <v>34</v>
      </c>
      <c r="D68" t="s">
        <v>15</v>
      </c>
      <c r="E68">
        <v>737.31</v>
      </c>
      <c r="F68">
        <v>2</v>
      </c>
      <c r="G68">
        <v>0.05</v>
      </c>
      <c r="H68" s="29">
        <v>45401</v>
      </c>
      <c r="I68">
        <v>350.22</v>
      </c>
      <c r="J68">
        <v>0</v>
      </c>
      <c r="K68">
        <v>737.31</v>
      </c>
    </row>
    <row r="69" spans="1:12" x14ac:dyDescent="0.25">
      <c r="A69" t="s">
        <v>35</v>
      </c>
      <c r="B69" t="s">
        <v>50</v>
      </c>
      <c r="C69" t="s">
        <v>20</v>
      </c>
      <c r="D69" t="s">
        <v>21</v>
      </c>
      <c r="E69">
        <v>1173.1199999999999</v>
      </c>
      <c r="F69">
        <v>18</v>
      </c>
      <c r="G69">
        <v>0</v>
      </c>
      <c r="H69" s="29">
        <v>45418</v>
      </c>
      <c r="I69">
        <v>293.27999999999997</v>
      </c>
      <c r="J69">
        <v>0.05</v>
      </c>
      <c r="K69">
        <v>1114.4639999999999</v>
      </c>
    </row>
    <row r="70" spans="1:12" x14ac:dyDescent="0.25">
      <c r="A70" t="s">
        <v>35</v>
      </c>
      <c r="B70" t="s">
        <v>55</v>
      </c>
      <c r="C70" t="s">
        <v>34</v>
      </c>
      <c r="D70" t="s">
        <v>39</v>
      </c>
      <c r="E70">
        <v>488.99</v>
      </c>
      <c r="F70">
        <v>9</v>
      </c>
      <c r="G70">
        <v>0</v>
      </c>
      <c r="H70" s="29">
        <v>45479</v>
      </c>
      <c r="I70">
        <v>220.05</v>
      </c>
      <c r="J70">
        <v>0.05</v>
      </c>
      <c r="K70">
        <v>464.54050000000001</v>
      </c>
    </row>
    <row r="71" spans="1:12" x14ac:dyDescent="0.25">
      <c r="A71" t="s">
        <v>35</v>
      </c>
      <c r="B71" t="s">
        <v>29</v>
      </c>
      <c r="C71" t="s">
        <v>11</v>
      </c>
      <c r="D71" t="s">
        <v>27</v>
      </c>
      <c r="E71">
        <v>862.19</v>
      </c>
      <c r="F71">
        <v>18</v>
      </c>
      <c r="G71">
        <v>0.05</v>
      </c>
      <c r="H71" s="29">
        <v>45663</v>
      </c>
      <c r="I71">
        <v>286.68</v>
      </c>
      <c r="J71">
        <v>0</v>
      </c>
      <c r="K71">
        <v>862.19</v>
      </c>
    </row>
    <row r="72" spans="1:12" x14ac:dyDescent="0.25">
      <c r="A72" t="s">
        <v>35</v>
      </c>
      <c r="B72" t="s">
        <v>36</v>
      </c>
      <c r="C72" t="s">
        <v>18</v>
      </c>
      <c r="D72" t="s">
        <v>12</v>
      </c>
      <c r="E72">
        <v>997.61</v>
      </c>
      <c r="F72">
        <v>8</v>
      </c>
      <c r="G72">
        <v>0.05</v>
      </c>
      <c r="H72" s="29">
        <v>45752</v>
      </c>
      <c r="I72">
        <v>379.09</v>
      </c>
      <c r="J72">
        <v>0</v>
      </c>
      <c r="K72">
        <v>997.61</v>
      </c>
    </row>
    <row r="73" spans="1:12" x14ac:dyDescent="0.25">
      <c r="A73" t="s">
        <v>63</v>
      </c>
      <c r="B73" t="s">
        <v>31</v>
      </c>
      <c r="C73" t="s">
        <v>24</v>
      </c>
      <c r="D73" t="s">
        <v>39</v>
      </c>
      <c r="E73">
        <v>1001.57</v>
      </c>
      <c r="F73">
        <v>12</v>
      </c>
      <c r="G73">
        <v>0</v>
      </c>
      <c r="H73" s="29">
        <v>45450</v>
      </c>
      <c r="I73">
        <v>450.71</v>
      </c>
      <c r="J73">
        <v>9.9999999999999992E-2</v>
      </c>
      <c r="K73">
        <v>901.41300000000001</v>
      </c>
    </row>
    <row r="74" spans="1:12" x14ac:dyDescent="0.25">
      <c r="A74" t="s">
        <v>63</v>
      </c>
      <c r="B74" t="s">
        <v>61</v>
      </c>
      <c r="C74" t="s">
        <v>18</v>
      </c>
      <c r="D74" t="s">
        <v>12</v>
      </c>
      <c r="E74">
        <v>1213.48</v>
      </c>
      <c r="F74">
        <v>5</v>
      </c>
      <c r="G74">
        <v>0.05</v>
      </c>
      <c r="H74" s="29">
        <v>45616</v>
      </c>
      <c r="I74">
        <v>461.12</v>
      </c>
      <c r="J74">
        <v>0</v>
      </c>
      <c r="K74">
        <v>766.71</v>
      </c>
      <c r="L74">
        <v>26537.28000000001</v>
      </c>
    </row>
    <row r="75" spans="1:12" x14ac:dyDescent="0.25">
      <c r="A75" t="s">
        <v>63</v>
      </c>
      <c r="B75" t="s">
        <v>69</v>
      </c>
      <c r="C75" t="s">
        <v>34</v>
      </c>
      <c r="D75" t="s">
        <v>15</v>
      </c>
      <c r="E75">
        <v>662.61</v>
      </c>
      <c r="F75">
        <v>11</v>
      </c>
      <c r="G75">
        <v>0.05</v>
      </c>
      <c r="H75" s="29">
        <v>45658</v>
      </c>
      <c r="I75">
        <v>314.74</v>
      </c>
      <c r="J75">
        <v>0.05</v>
      </c>
      <c r="K75">
        <v>629.47950000000003</v>
      </c>
    </row>
    <row r="76" spans="1:12" x14ac:dyDescent="0.25">
      <c r="A76" t="s">
        <v>63</v>
      </c>
      <c r="B76" t="s">
        <v>29</v>
      </c>
      <c r="C76" t="s">
        <v>24</v>
      </c>
      <c r="D76" t="s">
        <v>12</v>
      </c>
      <c r="E76">
        <v>884.63</v>
      </c>
      <c r="F76">
        <v>18</v>
      </c>
      <c r="G76">
        <v>0.1</v>
      </c>
      <c r="H76" s="29">
        <v>45659</v>
      </c>
      <c r="I76">
        <v>318.47000000000003</v>
      </c>
      <c r="J76">
        <v>0.15000000000000002</v>
      </c>
      <c r="K76">
        <v>751.93549999999993</v>
      </c>
    </row>
    <row r="77" spans="1:12" x14ac:dyDescent="0.25">
      <c r="A77" t="s">
        <v>13</v>
      </c>
      <c r="B77" t="s">
        <v>14</v>
      </c>
      <c r="C77" t="s">
        <v>11</v>
      </c>
      <c r="D77" t="s">
        <v>15</v>
      </c>
      <c r="E77">
        <v>1101.28</v>
      </c>
      <c r="F77">
        <v>3</v>
      </c>
      <c r="G77">
        <v>0.2</v>
      </c>
      <c r="H77" s="29">
        <v>45393</v>
      </c>
      <c r="I77">
        <v>440.51</v>
      </c>
      <c r="J77">
        <v>0.15000000000000002</v>
      </c>
      <c r="K77">
        <v>936.08799999999997</v>
      </c>
    </row>
    <row r="78" spans="1:12" x14ac:dyDescent="0.25">
      <c r="A78" t="s">
        <v>13</v>
      </c>
      <c r="B78" t="s">
        <v>31</v>
      </c>
      <c r="C78" t="s">
        <v>34</v>
      </c>
      <c r="D78" t="s">
        <v>39</v>
      </c>
      <c r="E78">
        <v>925.31</v>
      </c>
      <c r="F78">
        <v>8</v>
      </c>
      <c r="G78">
        <v>0.1</v>
      </c>
      <c r="H78" s="29">
        <v>45418</v>
      </c>
      <c r="I78">
        <v>374.75</v>
      </c>
      <c r="J78">
        <v>0</v>
      </c>
      <c r="K78">
        <v>925.31</v>
      </c>
    </row>
    <row r="79" spans="1:12" x14ac:dyDescent="0.25">
      <c r="A79" t="s">
        <v>13</v>
      </c>
      <c r="B79" t="s">
        <v>26</v>
      </c>
      <c r="C79" t="s">
        <v>11</v>
      </c>
      <c r="D79" t="s">
        <v>12</v>
      </c>
      <c r="E79">
        <v>472.38</v>
      </c>
      <c r="F79">
        <v>12</v>
      </c>
      <c r="G79">
        <v>0.2</v>
      </c>
      <c r="H79" s="29">
        <v>45429</v>
      </c>
      <c r="I79">
        <v>151.16</v>
      </c>
      <c r="J79">
        <v>0</v>
      </c>
      <c r="K79">
        <v>472.38</v>
      </c>
    </row>
    <row r="80" spans="1:12" x14ac:dyDescent="0.25">
      <c r="A80" t="s">
        <v>13</v>
      </c>
      <c r="B80" t="s">
        <v>59</v>
      </c>
      <c r="C80" t="s">
        <v>11</v>
      </c>
      <c r="D80" t="s">
        <v>15</v>
      </c>
      <c r="E80">
        <v>1360.36</v>
      </c>
      <c r="F80">
        <v>17</v>
      </c>
      <c r="G80">
        <v>0</v>
      </c>
      <c r="H80" s="29">
        <v>45473</v>
      </c>
      <c r="I80">
        <v>680.18</v>
      </c>
      <c r="J80">
        <v>0.05</v>
      </c>
      <c r="K80">
        <v>433.73</v>
      </c>
      <c r="L80">
        <v>51441.789999999979</v>
      </c>
    </row>
    <row r="81" spans="1:12" x14ac:dyDescent="0.25">
      <c r="A81" t="s">
        <v>13</v>
      </c>
      <c r="B81" t="s">
        <v>71</v>
      </c>
      <c r="C81" t="s">
        <v>20</v>
      </c>
      <c r="D81" t="s">
        <v>12</v>
      </c>
      <c r="E81">
        <v>804.45</v>
      </c>
      <c r="F81">
        <v>5</v>
      </c>
      <c r="G81">
        <v>0.2</v>
      </c>
      <c r="H81" s="29">
        <v>45509</v>
      </c>
      <c r="I81">
        <v>257.42</v>
      </c>
      <c r="J81">
        <v>9.9999999999999992E-2</v>
      </c>
      <c r="K81">
        <v>724.00500000000011</v>
      </c>
    </row>
    <row r="82" spans="1:12" x14ac:dyDescent="0.25">
      <c r="A82" t="s">
        <v>13</v>
      </c>
      <c r="B82" t="s">
        <v>29</v>
      </c>
      <c r="C82" t="s">
        <v>11</v>
      </c>
      <c r="D82" t="s">
        <v>21</v>
      </c>
      <c r="E82">
        <v>1215.26</v>
      </c>
      <c r="F82">
        <v>5</v>
      </c>
      <c r="G82">
        <v>0.15</v>
      </c>
      <c r="H82" s="29">
        <v>45513</v>
      </c>
      <c r="I82">
        <v>258.24</v>
      </c>
      <c r="J82">
        <v>0.15000000000000002</v>
      </c>
      <c r="K82">
        <v>384.3005</v>
      </c>
      <c r="L82">
        <v>46189.959999999992</v>
      </c>
    </row>
    <row r="83" spans="1:12" x14ac:dyDescent="0.25">
      <c r="A83" t="s">
        <v>13</v>
      </c>
      <c r="B83" t="s">
        <v>48</v>
      </c>
      <c r="C83" t="s">
        <v>24</v>
      </c>
      <c r="D83" t="s">
        <v>21</v>
      </c>
      <c r="E83">
        <v>925.29</v>
      </c>
      <c r="F83">
        <v>17</v>
      </c>
      <c r="G83">
        <v>0</v>
      </c>
      <c r="H83" s="29">
        <v>45570</v>
      </c>
      <c r="I83">
        <v>231.32</v>
      </c>
      <c r="J83">
        <v>0.15000000000000002</v>
      </c>
      <c r="K83">
        <v>786.49649999999997</v>
      </c>
    </row>
    <row r="84" spans="1:12" x14ac:dyDescent="0.25">
      <c r="A84" t="s">
        <v>13</v>
      </c>
      <c r="B84" t="s">
        <v>55</v>
      </c>
      <c r="C84" t="s">
        <v>11</v>
      </c>
      <c r="D84" t="s">
        <v>21</v>
      </c>
      <c r="E84">
        <v>688.83</v>
      </c>
      <c r="F84">
        <v>15</v>
      </c>
      <c r="G84">
        <v>0</v>
      </c>
      <c r="H84" s="29">
        <v>45595</v>
      </c>
      <c r="I84">
        <v>172.21</v>
      </c>
      <c r="J84">
        <v>0.15000000000000002</v>
      </c>
      <c r="K84">
        <v>585.50549999999998</v>
      </c>
    </row>
    <row r="85" spans="1:12" x14ac:dyDescent="0.25">
      <c r="A85" t="s">
        <v>13</v>
      </c>
      <c r="B85" t="s">
        <v>45</v>
      </c>
      <c r="C85" t="s">
        <v>24</v>
      </c>
      <c r="D85" t="s">
        <v>15</v>
      </c>
      <c r="E85">
        <v>845.84</v>
      </c>
      <c r="F85">
        <v>4</v>
      </c>
      <c r="G85">
        <v>0</v>
      </c>
      <c r="H85" s="29">
        <v>45707</v>
      </c>
      <c r="I85">
        <v>422.92</v>
      </c>
      <c r="J85">
        <v>0.15000000000000002</v>
      </c>
      <c r="K85">
        <v>718.96400000000006</v>
      </c>
    </row>
    <row r="86" spans="1:12" x14ac:dyDescent="0.25">
      <c r="A86" t="s">
        <v>73</v>
      </c>
      <c r="B86" t="s">
        <v>14</v>
      </c>
      <c r="C86" t="s">
        <v>20</v>
      </c>
      <c r="D86" t="s">
        <v>27</v>
      </c>
      <c r="E86">
        <v>727.73</v>
      </c>
      <c r="F86">
        <v>1</v>
      </c>
      <c r="G86">
        <v>0.1</v>
      </c>
      <c r="H86" s="29">
        <v>45552</v>
      </c>
      <c r="I86">
        <v>229.23</v>
      </c>
      <c r="J86">
        <v>0.05</v>
      </c>
      <c r="K86">
        <v>691.34349999999995</v>
      </c>
    </row>
    <row r="87" spans="1:12" x14ac:dyDescent="0.25">
      <c r="A87" t="s">
        <v>73</v>
      </c>
      <c r="B87" t="s">
        <v>29</v>
      </c>
      <c r="C87" t="s">
        <v>34</v>
      </c>
      <c r="D87" t="s">
        <v>12</v>
      </c>
      <c r="E87">
        <v>1249.0999999999999</v>
      </c>
      <c r="F87">
        <v>4</v>
      </c>
      <c r="G87">
        <v>0.05</v>
      </c>
      <c r="H87" s="29">
        <v>45597</v>
      </c>
      <c r="I87">
        <v>474.66</v>
      </c>
      <c r="J87">
        <v>0</v>
      </c>
      <c r="K87">
        <v>352.86</v>
      </c>
      <c r="L87">
        <v>31289.020000000004</v>
      </c>
    </row>
    <row r="88" spans="1:12" x14ac:dyDescent="0.25">
      <c r="A88" t="s">
        <v>73</v>
      </c>
      <c r="B88" t="s">
        <v>59</v>
      </c>
      <c r="C88" t="s">
        <v>24</v>
      </c>
      <c r="D88" t="s">
        <v>15</v>
      </c>
      <c r="E88">
        <v>1171.18</v>
      </c>
      <c r="F88">
        <v>19</v>
      </c>
      <c r="G88">
        <v>0.05</v>
      </c>
      <c r="H88" s="29">
        <v>45667</v>
      </c>
      <c r="I88">
        <v>556.30999999999995</v>
      </c>
      <c r="J88">
        <v>0</v>
      </c>
      <c r="K88">
        <v>1171.18</v>
      </c>
    </row>
    <row r="89" spans="1:12" x14ac:dyDescent="0.25">
      <c r="A89" t="s">
        <v>73</v>
      </c>
      <c r="B89" t="s">
        <v>53</v>
      </c>
      <c r="C89" t="s">
        <v>34</v>
      </c>
      <c r="D89" t="s">
        <v>12</v>
      </c>
      <c r="E89">
        <v>1014.43</v>
      </c>
      <c r="F89">
        <v>2</v>
      </c>
      <c r="G89">
        <v>0.15</v>
      </c>
      <c r="H89" s="29">
        <v>45713</v>
      </c>
      <c r="I89">
        <v>344.91</v>
      </c>
      <c r="J89">
        <v>0.15000000000000002</v>
      </c>
      <c r="K89">
        <v>862.26549999999997</v>
      </c>
    </row>
    <row r="90" spans="1:12" x14ac:dyDescent="0.25">
      <c r="A90" t="s">
        <v>37</v>
      </c>
      <c r="B90" t="s">
        <v>38</v>
      </c>
      <c r="C90" t="s">
        <v>11</v>
      </c>
      <c r="D90" t="s">
        <v>39</v>
      </c>
      <c r="E90">
        <v>1572.82</v>
      </c>
      <c r="F90">
        <v>6</v>
      </c>
      <c r="G90">
        <v>0.05</v>
      </c>
      <c r="H90" s="29">
        <v>45402</v>
      </c>
      <c r="I90">
        <v>672.38</v>
      </c>
      <c r="J90">
        <v>0</v>
      </c>
      <c r="K90">
        <v>355.74</v>
      </c>
      <c r="L90">
        <v>67067.910000000033</v>
      </c>
    </row>
    <row r="91" spans="1:12" x14ac:dyDescent="0.25">
      <c r="A91" t="s">
        <v>37</v>
      </c>
      <c r="B91" t="s">
        <v>36</v>
      </c>
      <c r="C91" t="s">
        <v>34</v>
      </c>
      <c r="D91" t="s">
        <v>12</v>
      </c>
      <c r="E91">
        <v>1343.13</v>
      </c>
      <c r="F91">
        <v>14</v>
      </c>
      <c r="G91">
        <v>0.15</v>
      </c>
      <c r="H91" s="29">
        <v>45404</v>
      </c>
      <c r="I91">
        <v>456.66</v>
      </c>
      <c r="J91">
        <v>0</v>
      </c>
      <c r="K91">
        <v>255.898</v>
      </c>
      <c r="L91">
        <v>66796.87000000001</v>
      </c>
    </row>
    <row r="92" spans="1:12" x14ac:dyDescent="0.25">
      <c r="A92" t="s">
        <v>37</v>
      </c>
      <c r="B92" t="s">
        <v>64</v>
      </c>
      <c r="C92" t="s">
        <v>20</v>
      </c>
      <c r="D92" t="s">
        <v>12</v>
      </c>
      <c r="E92">
        <v>961.62</v>
      </c>
      <c r="F92">
        <v>8</v>
      </c>
      <c r="G92">
        <v>0.2</v>
      </c>
      <c r="H92" s="29">
        <v>45577</v>
      </c>
      <c r="I92">
        <v>307.72000000000003</v>
      </c>
      <c r="J92">
        <v>0</v>
      </c>
      <c r="K92">
        <v>961.62</v>
      </c>
    </row>
    <row r="93" spans="1:12" x14ac:dyDescent="0.25">
      <c r="A93" t="s">
        <v>37</v>
      </c>
      <c r="B93" t="s">
        <v>71</v>
      </c>
      <c r="C93" t="s">
        <v>20</v>
      </c>
      <c r="D93" t="s">
        <v>27</v>
      </c>
      <c r="E93">
        <v>853.86</v>
      </c>
      <c r="F93">
        <v>8</v>
      </c>
      <c r="G93">
        <v>0.1</v>
      </c>
      <c r="H93" s="29">
        <v>45622</v>
      </c>
      <c r="I93">
        <v>268.97000000000003</v>
      </c>
      <c r="J93">
        <v>0</v>
      </c>
      <c r="K93">
        <v>853.86</v>
      </c>
    </row>
    <row r="94" spans="1:12" x14ac:dyDescent="0.25">
      <c r="A94" t="s">
        <v>37</v>
      </c>
      <c r="B94" t="s">
        <v>38</v>
      </c>
      <c r="C94" t="s">
        <v>20</v>
      </c>
      <c r="D94" t="s">
        <v>12</v>
      </c>
      <c r="E94">
        <v>1064.19</v>
      </c>
      <c r="F94">
        <v>18</v>
      </c>
      <c r="G94">
        <v>0.05</v>
      </c>
      <c r="H94" s="29">
        <v>45725</v>
      </c>
      <c r="I94">
        <v>404.39</v>
      </c>
      <c r="J94">
        <v>0.15000000000000002</v>
      </c>
      <c r="K94">
        <v>904.56150000000002</v>
      </c>
    </row>
    <row r="95" spans="1:12" x14ac:dyDescent="0.25">
      <c r="A95" t="s">
        <v>37</v>
      </c>
      <c r="B95" t="s">
        <v>43</v>
      </c>
      <c r="C95" t="s">
        <v>11</v>
      </c>
      <c r="D95" t="s">
        <v>15</v>
      </c>
      <c r="E95">
        <v>934.27</v>
      </c>
      <c r="F95">
        <v>8</v>
      </c>
      <c r="G95">
        <v>0.15</v>
      </c>
      <c r="H95" s="29">
        <v>45746</v>
      </c>
      <c r="I95">
        <v>397.06</v>
      </c>
      <c r="J95">
        <v>0.05</v>
      </c>
      <c r="K95">
        <v>887.55649999999991</v>
      </c>
    </row>
    <row r="96" spans="1:12" x14ac:dyDescent="0.25">
      <c r="A96" t="s">
        <v>58</v>
      </c>
      <c r="B96" t="s">
        <v>53</v>
      </c>
      <c r="C96" t="s">
        <v>24</v>
      </c>
      <c r="D96" t="s">
        <v>39</v>
      </c>
      <c r="E96">
        <v>1200.9000000000001</v>
      </c>
      <c r="F96">
        <v>14</v>
      </c>
      <c r="G96">
        <v>0.05</v>
      </c>
      <c r="H96" s="29">
        <v>45429</v>
      </c>
      <c r="I96">
        <v>513.38</v>
      </c>
      <c r="J96">
        <v>0.05</v>
      </c>
      <c r="K96">
        <v>496.584</v>
      </c>
      <c r="L96">
        <v>59587.34</v>
      </c>
    </row>
    <row r="97" spans="1:12" x14ac:dyDescent="0.25">
      <c r="A97" t="s">
        <v>58</v>
      </c>
      <c r="B97" t="s">
        <v>23</v>
      </c>
      <c r="C97" t="s">
        <v>20</v>
      </c>
      <c r="D97" t="s">
        <v>15</v>
      </c>
      <c r="E97">
        <v>1226.6199999999999</v>
      </c>
      <c r="F97">
        <v>7</v>
      </c>
      <c r="G97">
        <v>0.1</v>
      </c>
      <c r="H97" s="29">
        <v>45463</v>
      </c>
      <c r="I97">
        <v>551.98</v>
      </c>
      <c r="J97">
        <v>0</v>
      </c>
      <c r="K97">
        <v>128.51</v>
      </c>
      <c r="L97">
        <v>54257.209999999977</v>
      </c>
    </row>
    <row r="98" spans="1:12" x14ac:dyDescent="0.25">
      <c r="A98" t="s">
        <v>58</v>
      </c>
      <c r="B98" t="s">
        <v>36</v>
      </c>
      <c r="C98" t="s">
        <v>11</v>
      </c>
      <c r="D98" t="s">
        <v>15</v>
      </c>
      <c r="E98">
        <v>1168.8900000000001</v>
      </c>
      <c r="F98">
        <v>4</v>
      </c>
      <c r="G98">
        <v>0.1</v>
      </c>
      <c r="H98" s="29">
        <v>45544</v>
      </c>
      <c r="I98">
        <v>526</v>
      </c>
      <c r="J98">
        <v>0</v>
      </c>
      <c r="K98">
        <v>1168.8900000000001</v>
      </c>
    </row>
    <row r="99" spans="1:12" x14ac:dyDescent="0.25">
      <c r="A99" t="s">
        <v>58</v>
      </c>
      <c r="B99" t="s">
        <v>23</v>
      </c>
      <c r="C99" t="s">
        <v>11</v>
      </c>
      <c r="D99" t="s">
        <v>15</v>
      </c>
      <c r="E99">
        <v>1923.66</v>
      </c>
      <c r="F99">
        <v>9</v>
      </c>
      <c r="G99">
        <v>0.2</v>
      </c>
      <c r="H99" s="29">
        <v>45580</v>
      </c>
      <c r="I99">
        <v>769.46</v>
      </c>
      <c r="J99">
        <v>9.9999999999999992E-2</v>
      </c>
      <c r="K99">
        <v>495.09949999999998</v>
      </c>
      <c r="L99">
        <v>34945.03</v>
      </c>
    </row>
    <row r="100" spans="1:12" x14ac:dyDescent="0.25">
      <c r="A100" t="s">
        <v>58</v>
      </c>
      <c r="B100" t="s">
        <v>71</v>
      </c>
      <c r="C100" t="s">
        <v>11</v>
      </c>
      <c r="D100" t="s">
        <v>27</v>
      </c>
      <c r="E100">
        <v>820.19</v>
      </c>
      <c r="F100">
        <v>4</v>
      </c>
      <c r="G100">
        <v>0.2</v>
      </c>
      <c r="H100" s="29">
        <v>45630</v>
      </c>
      <c r="I100">
        <v>229.65</v>
      </c>
      <c r="J100">
        <v>0</v>
      </c>
      <c r="K100">
        <v>820.19</v>
      </c>
    </row>
    <row r="101" spans="1:12" x14ac:dyDescent="0.25">
      <c r="A101" t="s">
        <v>58</v>
      </c>
      <c r="B101" t="s">
        <v>38</v>
      </c>
      <c r="C101" t="s">
        <v>34</v>
      </c>
      <c r="D101" t="s">
        <v>21</v>
      </c>
      <c r="E101">
        <v>511.74</v>
      </c>
      <c r="F101">
        <v>8</v>
      </c>
      <c r="G101">
        <v>0.05</v>
      </c>
      <c r="H101" s="29">
        <v>45631</v>
      </c>
      <c r="I101">
        <v>121.54</v>
      </c>
      <c r="J101">
        <v>0.15000000000000002</v>
      </c>
      <c r="K101">
        <v>434.97899999999998</v>
      </c>
    </row>
    <row r="102" spans="1:12" x14ac:dyDescent="0.25">
      <c r="A102" t="s">
        <v>58</v>
      </c>
      <c r="B102" t="s">
        <v>14</v>
      </c>
      <c r="C102" t="s">
        <v>20</v>
      </c>
      <c r="D102" t="s">
        <v>27</v>
      </c>
      <c r="E102">
        <v>1054.56</v>
      </c>
      <c r="F102">
        <v>11</v>
      </c>
      <c r="G102">
        <v>0.1</v>
      </c>
      <c r="H102" s="29">
        <v>45669</v>
      </c>
      <c r="I102">
        <v>332.19</v>
      </c>
      <c r="J102">
        <v>0</v>
      </c>
      <c r="K102">
        <v>1054.56</v>
      </c>
    </row>
    <row r="103" spans="1:12" x14ac:dyDescent="0.25">
      <c r="A103" t="s">
        <v>58</v>
      </c>
      <c r="B103" t="s">
        <v>23</v>
      </c>
      <c r="C103" t="s">
        <v>24</v>
      </c>
      <c r="D103" t="s">
        <v>21</v>
      </c>
      <c r="E103">
        <v>1681.21</v>
      </c>
      <c r="F103">
        <v>5</v>
      </c>
      <c r="G103">
        <v>0.2</v>
      </c>
      <c r="H103" s="29">
        <v>45670</v>
      </c>
      <c r="I103">
        <v>336.24</v>
      </c>
      <c r="J103">
        <v>0.05</v>
      </c>
      <c r="K103">
        <v>274.23850000000004</v>
      </c>
      <c r="L103">
        <v>18846.740000000005</v>
      </c>
    </row>
    <row r="104" spans="1:12" x14ac:dyDescent="0.25">
      <c r="A104" t="s">
        <v>58</v>
      </c>
      <c r="B104" t="s">
        <v>36</v>
      </c>
      <c r="C104" t="s">
        <v>11</v>
      </c>
      <c r="D104" t="s">
        <v>15</v>
      </c>
      <c r="E104">
        <v>379.77</v>
      </c>
      <c r="F104">
        <v>9</v>
      </c>
      <c r="G104">
        <v>0.05</v>
      </c>
      <c r="H104" s="29">
        <v>45673</v>
      </c>
      <c r="I104">
        <v>180.39</v>
      </c>
      <c r="J104">
        <v>0.15000000000000002</v>
      </c>
      <c r="K104">
        <v>322.80449999999996</v>
      </c>
    </row>
    <row r="105" spans="1:12" x14ac:dyDescent="0.25">
      <c r="A105" t="s">
        <v>58</v>
      </c>
      <c r="B105" t="s">
        <v>45</v>
      </c>
      <c r="C105" t="s">
        <v>18</v>
      </c>
      <c r="D105" t="s">
        <v>12</v>
      </c>
      <c r="E105">
        <v>1098.08</v>
      </c>
      <c r="F105">
        <v>9</v>
      </c>
      <c r="G105">
        <v>0.1</v>
      </c>
      <c r="H105" s="29">
        <v>45692</v>
      </c>
      <c r="I105">
        <v>395.31</v>
      </c>
      <c r="J105">
        <v>0.15000000000000002</v>
      </c>
      <c r="K105">
        <v>933.36799999999994</v>
      </c>
    </row>
    <row r="106" spans="1:12" x14ac:dyDescent="0.25">
      <c r="A106" t="s">
        <v>58</v>
      </c>
      <c r="B106" t="s">
        <v>43</v>
      </c>
      <c r="C106" t="s">
        <v>11</v>
      </c>
      <c r="D106" t="s">
        <v>39</v>
      </c>
      <c r="E106">
        <v>545.44000000000005</v>
      </c>
      <c r="F106">
        <v>17</v>
      </c>
      <c r="G106">
        <v>0</v>
      </c>
      <c r="H106" s="29">
        <v>45752</v>
      </c>
      <c r="I106">
        <v>245.45</v>
      </c>
      <c r="J106">
        <v>0</v>
      </c>
      <c r="K106">
        <v>545.44000000000005</v>
      </c>
    </row>
    <row r="107" spans="1:12" x14ac:dyDescent="0.25">
      <c r="A107" t="s">
        <v>60</v>
      </c>
      <c r="B107" t="s">
        <v>61</v>
      </c>
      <c r="C107" t="s">
        <v>18</v>
      </c>
      <c r="D107" t="s">
        <v>12</v>
      </c>
      <c r="E107">
        <v>580.42999999999995</v>
      </c>
      <c r="F107">
        <v>19</v>
      </c>
      <c r="G107">
        <v>0.15</v>
      </c>
      <c r="H107" s="29">
        <v>45435</v>
      </c>
      <c r="I107">
        <v>197.35</v>
      </c>
      <c r="J107">
        <v>9.9999999999999992E-2</v>
      </c>
      <c r="K107">
        <v>522.38699999999994</v>
      </c>
    </row>
    <row r="108" spans="1:12" x14ac:dyDescent="0.25">
      <c r="A108" t="s">
        <v>60</v>
      </c>
      <c r="B108" t="s">
        <v>26</v>
      </c>
      <c r="C108" t="s">
        <v>24</v>
      </c>
      <c r="D108" t="s">
        <v>15</v>
      </c>
      <c r="E108">
        <v>990.19</v>
      </c>
      <c r="F108">
        <v>8</v>
      </c>
      <c r="G108">
        <v>0.1</v>
      </c>
      <c r="H108" s="29">
        <v>45565</v>
      </c>
      <c r="I108">
        <v>445.59</v>
      </c>
      <c r="J108">
        <v>0.05</v>
      </c>
      <c r="K108">
        <v>940.68050000000005</v>
      </c>
    </row>
    <row r="109" spans="1:12" x14ac:dyDescent="0.25">
      <c r="A109" t="s">
        <v>60</v>
      </c>
      <c r="B109" t="s">
        <v>17</v>
      </c>
      <c r="C109" t="s">
        <v>20</v>
      </c>
      <c r="D109" t="s">
        <v>15</v>
      </c>
      <c r="E109">
        <v>870.23</v>
      </c>
      <c r="F109">
        <v>5</v>
      </c>
      <c r="G109">
        <v>0.05</v>
      </c>
      <c r="H109" s="29">
        <v>45660</v>
      </c>
      <c r="I109">
        <v>413.36</v>
      </c>
      <c r="J109">
        <v>0.05</v>
      </c>
      <c r="K109">
        <v>826.71849999999995</v>
      </c>
    </row>
    <row r="110" spans="1:12" x14ac:dyDescent="0.25">
      <c r="A110" t="s">
        <v>60</v>
      </c>
      <c r="B110" t="s">
        <v>36</v>
      </c>
      <c r="C110" t="s">
        <v>20</v>
      </c>
      <c r="D110" t="s">
        <v>15</v>
      </c>
      <c r="E110">
        <v>928.32</v>
      </c>
      <c r="F110">
        <v>2</v>
      </c>
      <c r="G110">
        <v>0.05</v>
      </c>
      <c r="H110" s="29">
        <v>45754</v>
      </c>
      <c r="I110">
        <v>440.95</v>
      </c>
      <c r="J110">
        <v>0</v>
      </c>
      <c r="K110">
        <v>928.32</v>
      </c>
    </row>
    <row r="111" spans="1:12" x14ac:dyDescent="0.25">
      <c r="A111" t="s">
        <v>16</v>
      </c>
      <c r="B111" t="s">
        <v>17</v>
      </c>
      <c r="C111" t="s">
        <v>18</v>
      </c>
      <c r="D111" t="s">
        <v>12</v>
      </c>
      <c r="E111">
        <v>713.34</v>
      </c>
      <c r="F111">
        <v>17</v>
      </c>
      <c r="G111">
        <v>0</v>
      </c>
      <c r="H111" s="29">
        <v>45396</v>
      </c>
      <c r="I111">
        <v>285.33999999999997</v>
      </c>
      <c r="J111">
        <v>0.15000000000000002</v>
      </c>
      <c r="K111">
        <v>606.33900000000006</v>
      </c>
    </row>
    <row r="112" spans="1:12" x14ac:dyDescent="0.25">
      <c r="A112" t="s">
        <v>16</v>
      </c>
      <c r="B112" t="s">
        <v>62</v>
      </c>
      <c r="C112" t="s">
        <v>34</v>
      </c>
      <c r="D112" t="s">
        <v>21</v>
      </c>
      <c r="E112">
        <v>856.7</v>
      </c>
      <c r="F112">
        <v>2</v>
      </c>
      <c r="G112">
        <v>0</v>
      </c>
      <c r="H112" s="29">
        <v>45449</v>
      </c>
      <c r="I112">
        <v>214.18</v>
      </c>
      <c r="J112">
        <v>9.9999999999999992E-2</v>
      </c>
      <c r="K112">
        <v>771.03000000000009</v>
      </c>
    </row>
    <row r="113" spans="1:12" x14ac:dyDescent="0.25">
      <c r="A113" t="s">
        <v>16</v>
      </c>
      <c r="B113" t="s">
        <v>64</v>
      </c>
      <c r="C113" t="s">
        <v>11</v>
      </c>
      <c r="D113" t="s">
        <v>39</v>
      </c>
      <c r="E113">
        <v>826.93</v>
      </c>
      <c r="F113">
        <v>10</v>
      </c>
      <c r="G113">
        <v>0.2</v>
      </c>
      <c r="H113" s="29">
        <v>45564</v>
      </c>
      <c r="I113">
        <v>297.69</v>
      </c>
      <c r="J113">
        <v>0.05</v>
      </c>
      <c r="K113">
        <v>785.58349999999996</v>
      </c>
    </row>
    <row r="114" spans="1:12" x14ac:dyDescent="0.25">
      <c r="A114" t="s">
        <v>16</v>
      </c>
      <c r="B114" t="s">
        <v>31</v>
      </c>
      <c r="C114" t="s">
        <v>34</v>
      </c>
      <c r="D114" t="s">
        <v>15</v>
      </c>
      <c r="E114">
        <v>1022.23</v>
      </c>
      <c r="F114">
        <v>8</v>
      </c>
      <c r="G114">
        <v>0.1</v>
      </c>
      <c r="H114" s="29">
        <v>45717</v>
      </c>
      <c r="I114">
        <v>460</v>
      </c>
      <c r="J114">
        <v>0.15000000000000002</v>
      </c>
      <c r="K114">
        <v>868.89549999999997</v>
      </c>
    </row>
    <row r="115" spans="1:12" x14ac:dyDescent="0.25">
      <c r="A115" t="s">
        <v>75</v>
      </c>
      <c r="B115" t="s">
        <v>47</v>
      </c>
      <c r="C115" t="s">
        <v>20</v>
      </c>
      <c r="D115" t="s">
        <v>12</v>
      </c>
      <c r="E115">
        <v>966.3</v>
      </c>
      <c r="F115">
        <v>2</v>
      </c>
      <c r="G115">
        <v>0.15</v>
      </c>
      <c r="H115" s="29">
        <v>45557</v>
      </c>
      <c r="I115">
        <v>328.54</v>
      </c>
      <c r="J115">
        <v>0.15000000000000002</v>
      </c>
      <c r="K115">
        <v>821.3549999999999</v>
      </c>
    </row>
    <row r="116" spans="1:12" x14ac:dyDescent="0.25">
      <c r="A116" t="s">
        <v>75</v>
      </c>
      <c r="B116" t="s">
        <v>45</v>
      </c>
      <c r="C116" t="s">
        <v>20</v>
      </c>
      <c r="D116" t="s">
        <v>21</v>
      </c>
      <c r="E116">
        <v>1061.04</v>
      </c>
      <c r="F116">
        <v>1</v>
      </c>
      <c r="G116">
        <v>0</v>
      </c>
      <c r="H116" s="29">
        <v>45624</v>
      </c>
      <c r="I116">
        <v>265.26</v>
      </c>
      <c r="J116">
        <v>0.05</v>
      </c>
      <c r="K116">
        <v>1007.9879999999999</v>
      </c>
    </row>
    <row r="117" spans="1:12" x14ac:dyDescent="0.25">
      <c r="A117" t="s">
        <v>75</v>
      </c>
      <c r="B117" t="s">
        <v>48</v>
      </c>
      <c r="C117" t="s">
        <v>24</v>
      </c>
      <c r="D117" t="s">
        <v>12</v>
      </c>
      <c r="E117">
        <v>640.64</v>
      </c>
      <c r="F117">
        <v>11</v>
      </c>
      <c r="G117">
        <v>0.2</v>
      </c>
      <c r="H117" s="29">
        <v>45678</v>
      </c>
      <c r="I117">
        <v>205</v>
      </c>
      <c r="J117">
        <v>0.15000000000000002</v>
      </c>
      <c r="K117">
        <v>544.54399999999998</v>
      </c>
    </row>
    <row r="118" spans="1:12" x14ac:dyDescent="0.25">
      <c r="A118" t="s">
        <v>75</v>
      </c>
      <c r="B118" t="s">
        <v>31</v>
      </c>
      <c r="C118" t="s">
        <v>34</v>
      </c>
      <c r="D118" t="s">
        <v>15</v>
      </c>
      <c r="E118">
        <v>826.97</v>
      </c>
      <c r="F118">
        <v>18</v>
      </c>
      <c r="G118">
        <v>0.2</v>
      </c>
      <c r="H118" s="29">
        <v>45715</v>
      </c>
      <c r="I118">
        <v>330.79</v>
      </c>
      <c r="J118">
        <v>9.9999999999999992E-2</v>
      </c>
      <c r="K118">
        <v>744.27300000000002</v>
      </c>
    </row>
    <row r="119" spans="1:12" x14ac:dyDescent="0.25">
      <c r="A119" t="s">
        <v>75</v>
      </c>
      <c r="B119" t="s">
        <v>71</v>
      </c>
      <c r="C119" t="s">
        <v>34</v>
      </c>
      <c r="D119" t="s">
        <v>15</v>
      </c>
      <c r="E119">
        <v>1456.94</v>
      </c>
      <c r="F119">
        <v>14</v>
      </c>
      <c r="G119">
        <v>0.05</v>
      </c>
      <c r="H119" s="29">
        <v>45745</v>
      </c>
      <c r="I119">
        <v>692.05</v>
      </c>
      <c r="J119">
        <v>9.9999999999999992E-2</v>
      </c>
      <c r="K119">
        <v>379.18299999999999</v>
      </c>
      <c r="L119">
        <v>5129.4799999999996</v>
      </c>
    </row>
    <row r="120" spans="1:12" x14ac:dyDescent="0.25">
      <c r="A120" t="s">
        <v>9</v>
      </c>
      <c r="B120" t="s">
        <v>10</v>
      </c>
      <c r="C120" t="s">
        <v>11</v>
      </c>
      <c r="D120" t="s">
        <v>12</v>
      </c>
      <c r="E120">
        <v>1036.0899999999999</v>
      </c>
      <c r="F120">
        <v>4</v>
      </c>
      <c r="G120">
        <v>0.2</v>
      </c>
      <c r="H120" s="29">
        <v>45392</v>
      </c>
      <c r="I120">
        <v>331.55</v>
      </c>
      <c r="J120">
        <v>0.15000000000000002</v>
      </c>
      <c r="K120">
        <v>880.67649999999992</v>
      </c>
    </row>
    <row r="121" spans="1:12" x14ac:dyDescent="0.25">
      <c r="A121" t="s">
        <v>9</v>
      </c>
      <c r="B121" t="s">
        <v>31</v>
      </c>
      <c r="C121" t="s">
        <v>11</v>
      </c>
      <c r="D121" t="s">
        <v>12</v>
      </c>
      <c r="E121">
        <v>743.17</v>
      </c>
      <c r="F121">
        <v>9</v>
      </c>
      <c r="G121">
        <v>0</v>
      </c>
      <c r="H121" s="29">
        <v>45416</v>
      </c>
      <c r="I121">
        <v>297.27</v>
      </c>
      <c r="J121">
        <v>9.9999999999999992E-2</v>
      </c>
      <c r="K121">
        <v>668.85299999999995</v>
      </c>
    </row>
    <row r="122" spans="1:12" x14ac:dyDescent="0.25">
      <c r="A122" t="s">
        <v>9</v>
      </c>
      <c r="B122" t="s">
        <v>55</v>
      </c>
      <c r="C122" t="s">
        <v>18</v>
      </c>
      <c r="D122" t="s">
        <v>39</v>
      </c>
      <c r="E122">
        <v>840.92</v>
      </c>
      <c r="F122">
        <v>9</v>
      </c>
      <c r="G122">
        <v>0.05</v>
      </c>
      <c r="H122" s="29">
        <v>45429</v>
      </c>
      <c r="I122">
        <v>359.49</v>
      </c>
      <c r="J122">
        <v>0.15000000000000002</v>
      </c>
      <c r="K122">
        <v>714.78199999999993</v>
      </c>
    </row>
    <row r="123" spans="1:12" x14ac:dyDescent="0.25">
      <c r="A123" t="s">
        <v>9</v>
      </c>
      <c r="B123" t="s">
        <v>33</v>
      </c>
      <c r="C123" t="s">
        <v>34</v>
      </c>
      <c r="D123" t="s">
        <v>15</v>
      </c>
      <c r="E123">
        <v>1301.8900000000001</v>
      </c>
      <c r="F123">
        <v>7</v>
      </c>
      <c r="G123">
        <v>0.15</v>
      </c>
      <c r="H123" s="29">
        <v>45581</v>
      </c>
      <c r="I123">
        <v>553.29999999999995</v>
      </c>
      <c r="J123">
        <v>0.05</v>
      </c>
      <c r="K123">
        <v>92.52649999999997</v>
      </c>
      <c r="L123">
        <v>34296.619999999995</v>
      </c>
    </row>
    <row r="124" spans="1:12" x14ac:dyDescent="0.25">
      <c r="A124" t="s">
        <v>9</v>
      </c>
      <c r="B124" t="s">
        <v>17</v>
      </c>
      <c r="C124" t="s">
        <v>20</v>
      </c>
      <c r="D124" t="s">
        <v>21</v>
      </c>
      <c r="E124">
        <v>718.04</v>
      </c>
      <c r="F124">
        <v>14</v>
      </c>
      <c r="G124">
        <v>0</v>
      </c>
      <c r="H124" s="29">
        <v>45613</v>
      </c>
      <c r="I124">
        <v>179.51</v>
      </c>
      <c r="J124">
        <v>0.05</v>
      </c>
      <c r="K124">
        <v>682.13799999999992</v>
      </c>
    </row>
    <row r="125" spans="1:12" x14ac:dyDescent="0.25">
      <c r="A125" t="s">
        <v>68</v>
      </c>
      <c r="B125" t="s">
        <v>55</v>
      </c>
      <c r="C125" t="s">
        <v>11</v>
      </c>
      <c r="D125" t="s">
        <v>27</v>
      </c>
      <c r="E125">
        <v>1371.34</v>
      </c>
      <c r="F125">
        <v>5</v>
      </c>
      <c r="G125">
        <v>0.05</v>
      </c>
      <c r="H125" s="29">
        <v>45488</v>
      </c>
      <c r="I125">
        <v>455.97</v>
      </c>
      <c r="J125">
        <v>0</v>
      </c>
      <c r="K125">
        <v>195.60050000000001</v>
      </c>
      <c r="L125">
        <v>48505.659999999982</v>
      </c>
    </row>
    <row r="126" spans="1:12" x14ac:dyDescent="0.25">
      <c r="A126" t="s">
        <v>68</v>
      </c>
      <c r="B126" t="s">
        <v>69</v>
      </c>
      <c r="C126" t="s">
        <v>20</v>
      </c>
      <c r="D126" t="s">
        <v>39</v>
      </c>
      <c r="E126">
        <v>981.2</v>
      </c>
      <c r="F126">
        <v>19</v>
      </c>
      <c r="G126">
        <v>0</v>
      </c>
      <c r="H126" s="29">
        <v>45504</v>
      </c>
      <c r="I126">
        <v>441.54</v>
      </c>
      <c r="J126">
        <v>0</v>
      </c>
      <c r="K126">
        <v>981.2</v>
      </c>
    </row>
    <row r="127" spans="1:12" x14ac:dyDescent="0.25">
      <c r="A127" t="s">
        <v>68</v>
      </c>
      <c r="B127" t="s">
        <v>33</v>
      </c>
      <c r="C127" t="s">
        <v>18</v>
      </c>
      <c r="D127" t="s">
        <v>27</v>
      </c>
      <c r="E127">
        <v>1143.69</v>
      </c>
      <c r="F127">
        <v>17</v>
      </c>
      <c r="G127">
        <v>0</v>
      </c>
      <c r="H127" s="29">
        <v>45534</v>
      </c>
      <c r="I127">
        <v>400.29</v>
      </c>
      <c r="J127">
        <v>0</v>
      </c>
      <c r="K127">
        <v>1143.69</v>
      </c>
    </row>
    <row r="128" spans="1:12" x14ac:dyDescent="0.25">
      <c r="A128" t="s">
        <v>68</v>
      </c>
      <c r="B128" t="s">
        <v>17</v>
      </c>
      <c r="C128" t="s">
        <v>20</v>
      </c>
      <c r="D128" t="s">
        <v>12</v>
      </c>
      <c r="E128">
        <v>917.48</v>
      </c>
      <c r="F128">
        <v>6</v>
      </c>
      <c r="G128">
        <v>0</v>
      </c>
      <c r="H128" s="29">
        <v>45558</v>
      </c>
      <c r="I128">
        <v>366.99</v>
      </c>
      <c r="J128">
        <v>9.9999999999999992E-2</v>
      </c>
      <c r="K128">
        <v>825.73200000000008</v>
      </c>
    </row>
    <row r="129" spans="1:12" x14ac:dyDescent="0.25">
      <c r="A129" t="s">
        <v>57</v>
      </c>
      <c r="B129" t="s">
        <v>43</v>
      </c>
      <c r="C129" t="s">
        <v>20</v>
      </c>
      <c r="D129" t="s">
        <v>21</v>
      </c>
      <c r="E129">
        <v>967.89</v>
      </c>
      <c r="F129">
        <v>10</v>
      </c>
      <c r="G129">
        <v>0.1</v>
      </c>
      <c r="H129" s="29">
        <v>45429</v>
      </c>
      <c r="I129">
        <v>217.78</v>
      </c>
      <c r="J129">
        <v>9.9999999999999992E-2</v>
      </c>
      <c r="K129">
        <v>871.101</v>
      </c>
    </row>
    <row r="130" spans="1:12" x14ac:dyDescent="0.25">
      <c r="A130" t="s">
        <v>57</v>
      </c>
      <c r="B130" t="s">
        <v>23</v>
      </c>
      <c r="C130" t="s">
        <v>34</v>
      </c>
      <c r="D130" t="s">
        <v>12</v>
      </c>
      <c r="E130">
        <v>840.85</v>
      </c>
      <c r="F130">
        <v>19</v>
      </c>
      <c r="G130">
        <v>0.1</v>
      </c>
      <c r="H130" s="29">
        <v>45448</v>
      </c>
      <c r="I130">
        <v>302.70999999999998</v>
      </c>
      <c r="J130">
        <v>9.9999999999999992E-2</v>
      </c>
      <c r="K130">
        <v>756.76499999999999</v>
      </c>
    </row>
    <row r="131" spans="1:12" x14ac:dyDescent="0.25">
      <c r="A131" t="s">
        <v>57</v>
      </c>
      <c r="B131" t="s">
        <v>26</v>
      </c>
      <c r="C131" t="s">
        <v>18</v>
      </c>
      <c r="D131" t="s">
        <v>27</v>
      </c>
      <c r="E131">
        <v>1186.8499999999999</v>
      </c>
      <c r="F131">
        <v>19</v>
      </c>
      <c r="G131">
        <v>0.2</v>
      </c>
      <c r="H131" s="29">
        <v>45451</v>
      </c>
      <c r="I131">
        <v>332.32</v>
      </c>
      <c r="J131">
        <v>0</v>
      </c>
      <c r="K131">
        <v>1186.8499999999999</v>
      </c>
    </row>
    <row r="132" spans="1:12" x14ac:dyDescent="0.25">
      <c r="A132" t="s">
        <v>57</v>
      </c>
      <c r="B132" t="s">
        <v>31</v>
      </c>
      <c r="C132" t="s">
        <v>18</v>
      </c>
      <c r="D132" t="s">
        <v>12</v>
      </c>
      <c r="E132">
        <v>1383.3</v>
      </c>
      <c r="F132">
        <v>8</v>
      </c>
      <c r="G132">
        <v>0.1</v>
      </c>
      <c r="H132" s="29">
        <v>45478</v>
      </c>
      <c r="I132">
        <v>497.99</v>
      </c>
      <c r="J132">
        <v>0</v>
      </c>
      <c r="K132">
        <v>255.87</v>
      </c>
      <c r="L132">
        <v>51102.349999999977</v>
      </c>
    </row>
    <row r="133" spans="1:12" x14ac:dyDescent="0.25">
      <c r="A133" t="s">
        <v>57</v>
      </c>
      <c r="B133" t="s">
        <v>47</v>
      </c>
      <c r="C133" t="s">
        <v>24</v>
      </c>
      <c r="D133" t="s">
        <v>21</v>
      </c>
      <c r="E133">
        <v>1020.26</v>
      </c>
      <c r="F133">
        <v>11</v>
      </c>
      <c r="G133">
        <v>0.05</v>
      </c>
      <c r="H133" s="29">
        <v>45494</v>
      </c>
      <c r="I133">
        <v>242.31</v>
      </c>
      <c r="J133">
        <v>0</v>
      </c>
      <c r="K133">
        <v>1020.26</v>
      </c>
    </row>
    <row r="134" spans="1:12" x14ac:dyDescent="0.25">
      <c r="A134" t="s">
        <v>57</v>
      </c>
      <c r="B134" t="s">
        <v>23</v>
      </c>
      <c r="C134" t="s">
        <v>24</v>
      </c>
      <c r="D134" t="s">
        <v>15</v>
      </c>
      <c r="E134">
        <v>1205.82</v>
      </c>
      <c r="F134">
        <v>11</v>
      </c>
      <c r="G134">
        <v>0.1</v>
      </c>
      <c r="H134" s="29">
        <v>45559</v>
      </c>
      <c r="I134">
        <v>542.62</v>
      </c>
      <c r="J134">
        <v>9.9999999999999992E-2</v>
      </c>
      <c r="K134">
        <v>265.61649999999997</v>
      </c>
      <c r="L134">
        <v>38287.74</v>
      </c>
    </row>
    <row r="135" spans="1:12" x14ac:dyDescent="0.25">
      <c r="A135" t="s">
        <v>57</v>
      </c>
      <c r="B135" t="s">
        <v>38</v>
      </c>
      <c r="C135" t="s">
        <v>34</v>
      </c>
      <c r="D135" t="s">
        <v>12</v>
      </c>
      <c r="E135">
        <v>1150.28</v>
      </c>
      <c r="F135">
        <v>8</v>
      </c>
      <c r="G135">
        <v>0.05</v>
      </c>
      <c r="H135" s="29">
        <v>45622</v>
      </c>
      <c r="I135">
        <v>437.11</v>
      </c>
      <c r="J135">
        <v>0</v>
      </c>
      <c r="K135">
        <v>1150.28</v>
      </c>
    </row>
    <row r="136" spans="1:12" x14ac:dyDescent="0.25">
      <c r="A136" t="s">
        <v>57</v>
      </c>
      <c r="B136" t="s">
        <v>55</v>
      </c>
      <c r="C136" t="s">
        <v>11</v>
      </c>
      <c r="D136" t="s">
        <v>27</v>
      </c>
      <c r="E136">
        <v>984.93</v>
      </c>
      <c r="F136">
        <v>14</v>
      </c>
      <c r="G136">
        <v>0.2</v>
      </c>
      <c r="H136" s="29">
        <v>45733</v>
      </c>
      <c r="I136">
        <v>275.77999999999997</v>
      </c>
      <c r="J136">
        <v>0</v>
      </c>
      <c r="K136">
        <v>984.93</v>
      </c>
    </row>
    <row r="137" spans="1:12" x14ac:dyDescent="0.25">
      <c r="A137" t="s">
        <v>49</v>
      </c>
      <c r="B137" t="s">
        <v>14</v>
      </c>
      <c r="C137" t="s">
        <v>24</v>
      </c>
      <c r="D137" t="s">
        <v>21</v>
      </c>
      <c r="E137">
        <v>388.56</v>
      </c>
      <c r="F137">
        <v>14</v>
      </c>
      <c r="G137">
        <v>0.15</v>
      </c>
      <c r="H137" s="29">
        <v>45416</v>
      </c>
      <c r="I137">
        <v>82.57</v>
      </c>
      <c r="J137">
        <v>0</v>
      </c>
      <c r="K137">
        <v>388.56</v>
      </c>
    </row>
    <row r="138" spans="1:12" x14ac:dyDescent="0.25">
      <c r="A138" t="s">
        <v>49</v>
      </c>
      <c r="B138" t="s">
        <v>56</v>
      </c>
      <c r="C138" t="s">
        <v>34</v>
      </c>
      <c r="D138" t="s">
        <v>12</v>
      </c>
      <c r="E138">
        <v>1023.21</v>
      </c>
      <c r="F138">
        <v>18</v>
      </c>
      <c r="G138">
        <v>0.05</v>
      </c>
      <c r="H138" s="29">
        <v>45428</v>
      </c>
      <c r="I138">
        <v>388.82</v>
      </c>
      <c r="J138">
        <v>0.05</v>
      </c>
      <c r="K138">
        <v>972.04949999999997</v>
      </c>
    </row>
    <row r="139" spans="1:12" x14ac:dyDescent="0.25">
      <c r="A139" t="s">
        <v>49</v>
      </c>
      <c r="B139" t="s">
        <v>50</v>
      </c>
      <c r="C139" t="s">
        <v>20</v>
      </c>
      <c r="D139" t="s">
        <v>12</v>
      </c>
      <c r="E139">
        <v>1264.49</v>
      </c>
      <c r="F139">
        <v>16</v>
      </c>
      <c r="G139">
        <v>0.05</v>
      </c>
      <c r="H139" s="29">
        <v>45549</v>
      </c>
      <c r="I139">
        <v>480.51</v>
      </c>
      <c r="J139">
        <v>9.9999999999999992E-2</v>
      </c>
      <c r="K139">
        <v>406.86</v>
      </c>
      <c r="L139">
        <v>41779.189999999995</v>
      </c>
    </row>
    <row r="140" spans="1:12" x14ac:dyDescent="0.25">
      <c r="A140" t="s">
        <v>49</v>
      </c>
      <c r="B140" t="s">
        <v>45</v>
      </c>
      <c r="C140" t="s">
        <v>34</v>
      </c>
      <c r="D140" t="s">
        <v>39</v>
      </c>
      <c r="E140">
        <v>388.23</v>
      </c>
      <c r="F140">
        <v>16</v>
      </c>
      <c r="G140">
        <v>0.05</v>
      </c>
      <c r="H140" s="29">
        <v>45650</v>
      </c>
      <c r="I140">
        <v>165.97</v>
      </c>
      <c r="J140">
        <v>0.15000000000000002</v>
      </c>
      <c r="K140">
        <v>329.99549999999999</v>
      </c>
    </row>
    <row r="141" spans="1:12" x14ac:dyDescent="0.25">
      <c r="A141" t="s">
        <v>49</v>
      </c>
      <c r="B141" t="s">
        <v>23</v>
      </c>
      <c r="C141" t="s">
        <v>11</v>
      </c>
      <c r="D141" t="s">
        <v>12</v>
      </c>
      <c r="E141">
        <v>1353.79</v>
      </c>
      <c r="F141">
        <v>14</v>
      </c>
      <c r="G141">
        <v>0.1</v>
      </c>
      <c r="H141" s="29">
        <v>45656</v>
      </c>
      <c r="I141">
        <v>487.36</v>
      </c>
      <c r="J141">
        <v>0.15000000000000002</v>
      </c>
      <c r="K141">
        <v>390.74900000000002</v>
      </c>
      <c r="L141">
        <v>21777.510000000009</v>
      </c>
    </row>
    <row r="142" spans="1:12" x14ac:dyDescent="0.25">
      <c r="A142" t="s">
        <v>40</v>
      </c>
      <c r="B142" t="s">
        <v>14</v>
      </c>
      <c r="C142" t="s">
        <v>11</v>
      </c>
      <c r="D142" t="s">
        <v>27</v>
      </c>
      <c r="E142">
        <v>822.28</v>
      </c>
      <c r="F142">
        <v>7</v>
      </c>
      <c r="G142">
        <v>0.05</v>
      </c>
      <c r="H142" s="29">
        <v>45406</v>
      </c>
      <c r="I142">
        <v>273.41000000000003</v>
      </c>
      <c r="J142">
        <v>0</v>
      </c>
      <c r="K142">
        <v>822.28</v>
      </c>
    </row>
    <row r="143" spans="1:12" x14ac:dyDescent="0.25">
      <c r="A143" t="s">
        <v>40</v>
      </c>
      <c r="B143" t="s">
        <v>31</v>
      </c>
      <c r="C143" t="s">
        <v>34</v>
      </c>
      <c r="D143" t="s">
        <v>21</v>
      </c>
      <c r="E143">
        <v>706.37</v>
      </c>
      <c r="F143">
        <v>6</v>
      </c>
      <c r="G143">
        <v>0</v>
      </c>
      <c r="H143" s="29">
        <v>45416</v>
      </c>
      <c r="I143">
        <v>176.59</v>
      </c>
      <c r="J143">
        <v>0</v>
      </c>
      <c r="K143">
        <v>706.37</v>
      </c>
    </row>
    <row r="144" spans="1:12" x14ac:dyDescent="0.25">
      <c r="A144" t="s">
        <v>40</v>
      </c>
      <c r="B144" t="s">
        <v>56</v>
      </c>
      <c r="C144" t="s">
        <v>18</v>
      </c>
      <c r="D144" t="s">
        <v>39</v>
      </c>
      <c r="E144">
        <v>556.41999999999996</v>
      </c>
      <c r="F144">
        <v>11</v>
      </c>
      <c r="G144">
        <v>0.15</v>
      </c>
      <c r="H144" s="29">
        <v>45447</v>
      </c>
      <c r="I144">
        <v>212.83</v>
      </c>
      <c r="J144">
        <v>0.15000000000000002</v>
      </c>
      <c r="K144">
        <v>472.95699999999994</v>
      </c>
    </row>
    <row r="145" spans="1:12" x14ac:dyDescent="0.25">
      <c r="A145" t="s">
        <v>40</v>
      </c>
      <c r="B145" t="s">
        <v>55</v>
      </c>
      <c r="C145" t="s">
        <v>18</v>
      </c>
      <c r="D145" t="s">
        <v>27</v>
      </c>
      <c r="E145">
        <v>873.7</v>
      </c>
      <c r="F145">
        <v>9</v>
      </c>
      <c r="G145">
        <v>0</v>
      </c>
      <c r="H145" s="29">
        <v>45546</v>
      </c>
      <c r="I145">
        <v>305.8</v>
      </c>
      <c r="J145">
        <v>0</v>
      </c>
      <c r="K145">
        <v>873.7</v>
      </c>
    </row>
    <row r="146" spans="1:12" x14ac:dyDescent="0.25">
      <c r="A146" t="s">
        <v>40</v>
      </c>
      <c r="B146" t="s">
        <v>23</v>
      </c>
      <c r="C146" t="s">
        <v>18</v>
      </c>
      <c r="D146" t="s">
        <v>39</v>
      </c>
      <c r="E146">
        <v>1154.33</v>
      </c>
      <c r="F146">
        <v>11</v>
      </c>
      <c r="G146">
        <v>0.15</v>
      </c>
      <c r="H146" s="29">
        <v>45549</v>
      </c>
      <c r="I146">
        <v>441.53</v>
      </c>
      <c r="J146">
        <v>0</v>
      </c>
      <c r="K146">
        <v>1154.33</v>
      </c>
    </row>
    <row r="147" spans="1:12" x14ac:dyDescent="0.25">
      <c r="A147" t="s">
        <v>40</v>
      </c>
      <c r="B147" t="s">
        <v>17</v>
      </c>
      <c r="C147" t="s">
        <v>20</v>
      </c>
      <c r="D147" t="s">
        <v>15</v>
      </c>
      <c r="E147">
        <v>1118.3399999999999</v>
      </c>
      <c r="F147">
        <v>6</v>
      </c>
      <c r="G147">
        <v>0.2</v>
      </c>
      <c r="H147" s="29">
        <v>45674</v>
      </c>
      <c r="I147">
        <v>447.34</v>
      </c>
      <c r="J147">
        <v>0</v>
      </c>
      <c r="K147">
        <v>1118.3399999999999</v>
      </c>
    </row>
    <row r="148" spans="1:12" x14ac:dyDescent="0.25">
      <c r="A148" t="s">
        <v>40</v>
      </c>
      <c r="B148" t="s">
        <v>59</v>
      </c>
      <c r="C148" t="s">
        <v>20</v>
      </c>
      <c r="D148" t="s">
        <v>15</v>
      </c>
      <c r="E148">
        <v>682.24</v>
      </c>
      <c r="F148">
        <v>1</v>
      </c>
      <c r="G148">
        <v>0</v>
      </c>
      <c r="H148" s="29">
        <v>45738</v>
      </c>
      <c r="I148">
        <v>341.12</v>
      </c>
      <c r="J148">
        <v>0.05</v>
      </c>
      <c r="K148">
        <v>648.12799999999993</v>
      </c>
    </row>
    <row r="149" spans="1:12" x14ac:dyDescent="0.25">
      <c r="A149" t="s">
        <v>70</v>
      </c>
      <c r="B149" t="s">
        <v>55</v>
      </c>
      <c r="C149" t="s">
        <v>18</v>
      </c>
      <c r="D149" t="s">
        <v>21</v>
      </c>
      <c r="E149">
        <v>539.77</v>
      </c>
      <c r="F149">
        <v>10</v>
      </c>
      <c r="G149">
        <v>0.15</v>
      </c>
      <c r="H149" s="29">
        <v>45509</v>
      </c>
      <c r="I149">
        <v>114.7</v>
      </c>
      <c r="J149">
        <v>0</v>
      </c>
      <c r="K149">
        <v>539.77</v>
      </c>
    </row>
    <row r="150" spans="1:12" x14ac:dyDescent="0.25">
      <c r="A150" t="s">
        <v>70</v>
      </c>
      <c r="B150" t="s">
        <v>38</v>
      </c>
      <c r="C150" t="s">
        <v>11</v>
      </c>
      <c r="D150" t="s">
        <v>21</v>
      </c>
      <c r="E150">
        <v>1526.6</v>
      </c>
      <c r="F150">
        <v>13</v>
      </c>
      <c r="G150">
        <v>0.2</v>
      </c>
      <c r="H150" s="29">
        <v>45512</v>
      </c>
      <c r="I150">
        <v>305.32</v>
      </c>
      <c r="J150">
        <v>0.15000000000000002</v>
      </c>
      <c r="K150">
        <v>293.32299999999998</v>
      </c>
      <c r="L150">
        <v>46432.26999999999</v>
      </c>
    </row>
    <row r="151" spans="1:12" x14ac:dyDescent="0.25">
      <c r="A151" t="s">
        <v>70</v>
      </c>
      <c r="B151" t="s">
        <v>66</v>
      </c>
      <c r="C151" t="s">
        <v>18</v>
      </c>
      <c r="D151" t="s">
        <v>12</v>
      </c>
      <c r="E151">
        <v>980.18</v>
      </c>
      <c r="F151">
        <v>16</v>
      </c>
      <c r="G151">
        <v>0.1</v>
      </c>
      <c r="H151" s="29">
        <v>45582</v>
      </c>
      <c r="I151">
        <v>352.86</v>
      </c>
      <c r="J151">
        <v>9.9999999999999992E-2</v>
      </c>
      <c r="K151">
        <v>882.16199999999992</v>
      </c>
    </row>
    <row r="152" spans="1:12" x14ac:dyDescent="0.25">
      <c r="A152" t="s">
        <v>70</v>
      </c>
      <c r="B152" t="s">
        <v>23</v>
      </c>
      <c r="C152" t="s">
        <v>24</v>
      </c>
      <c r="D152" t="s">
        <v>21</v>
      </c>
      <c r="E152">
        <v>706.73</v>
      </c>
      <c r="F152">
        <v>1</v>
      </c>
      <c r="G152">
        <v>0.15</v>
      </c>
      <c r="H152" s="29">
        <v>45613</v>
      </c>
      <c r="I152">
        <v>150.18</v>
      </c>
      <c r="J152">
        <v>0.15000000000000002</v>
      </c>
      <c r="K152">
        <v>600.72050000000002</v>
      </c>
    </row>
    <row r="153" spans="1:12" x14ac:dyDescent="0.25">
      <c r="A153" t="s">
        <v>70</v>
      </c>
      <c r="B153" t="s">
        <v>53</v>
      </c>
      <c r="C153" t="s">
        <v>24</v>
      </c>
      <c r="D153" t="s">
        <v>15</v>
      </c>
      <c r="E153">
        <v>1622.62</v>
      </c>
      <c r="F153">
        <v>12</v>
      </c>
      <c r="G153">
        <v>0.2</v>
      </c>
      <c r="H153" s="29">
        <v>45677</v>
      </c>
      <c r="I153">
        <v>649.04999999999995</v>
      </c>
      <c r="J153">
        <v>0.15000000000000002</v>
      </c>
      <c r="K153">
        <v>437.64600000000002</v>
      </c>
      <c r="L153">
        <v>16970.169999999998</v>
      </c>
    </row>
    <row r="154" spans="1:12" x14ac:dyDescent="0.25">
      <c r="A154" t="s">
        <v>70</v>
      </c>
      <c r="B154" t="s">
        <v>29</v>
      </c>
      <c r="C154" t="s">
        <v>34</v>
      </c>
      <c r="D154" t="s">
        <v>15</v>
      </c>
      <c r="E154">
        <v>741.88</v>
      </c>
      <c r="F154">
        <v>16</v>
      </c>
      <c r="G154">
        <v>0.1</v>
      </c>
      <c r="H154" s="29">
        <v>45695</v>
      </c>
      <c r="I154">
        <v>333.85</v>
      </c>
      <c r="J154">
        <v>0.05</v>
      </c>
      <c r="K154">
        <v>704.78599999999994</v>
      </c>
    </row>
    <row r="155" spans="1:12" x14ac:dyDescent="0.25">
      <c r="A155" t="s">
        <v>70</v>
      </c>
      <c r="B155" t="s">
        <v>36</v>
      </c>
      <c r="C155" t="s">
        <v>34</v>
      </c>
      <c r="D155" t="s">
        <v>15</v>
      </c>
      <c r="E155">
        <v>1465.35</v>
      </c>
      <c r="F155">
        <v>8</v>
      </c>
      <c r="G155">
        <v>0.2</v>
      </c>
      <c r="H155" s="29">
        <v>45746</v>
      </c>
      <c r="I155">
        <v>586.14</v>
      </c>
      <c r="J155">
        <v>9.9999999999999992E-2</v>
      </c>
      <c r="K155">
        <v>390.80249999999995</v>
      </c>
      <c r="L155">
        <v>4386.41</v>
      </c>
    </row>
    <row r="156" spans="1:12" x14ac:dyDescent="0.25">
      <c r="A156" t="s">
        <v>54</v>
      </c>
      <c r="B156" t="s">
        <v>55</v>
      </c>
      <c r="C156" t="s">
        <v>24</v>
      </c>
      <c r="D156" t="s">
        <v>21</v>
      </c>
      <c r="E156">
        <v>1450.71</v>
      </c>
      <c r="F156">
        <v>5</v>
      </c>
      <c r="G156">
        <v>0.1</v>
      </c>
      <c r="H156" s="29">
        <v>45427</v>
      </c>
      <c r="I156">
        <v>326.41000000000003</v>
      </c>
      <c r="J156">
        <v>0.15000000000000002</v>
      </c>
      <c r="K156">
        <v>467.28100000000001</v>
      </c>
      <c r="L156">
        <v>60848.66</v>
      </c>
    </row>
    <row r="157" spans="1:12" x14ac:dyDescent="0.25">
      <c r="A157" t="s">
        <v>54</v>
      </c>
      <c r="B157" t="s">
        <v>56</v>
      </c>
      <c r="C157" t="s">
        <v>34</v>
      </c>
      <c r="D157" t="s">
        <v>39</v>
      </c>
      <c r="E157">
        <v>1225.42</v>
      </c>
      <c r="F157">
        <v>8</v>
      </c>
      <c r="G157">
        <v>0.15</v>
      </c>
      <c r="H157" s="29">
        <v>45449</v>
      </c>
      <c r="I157">
        <v>468.72</v>
      </c>
      <c r="J157">
        <v>0</v>
      </c>
      <c r="K157">
        <v>414.44</v>
      </c>
      <c r="L157">
        <v>55921.64999999998</v>
      </c>
    </row>
    <row r="158" spans="1:12" x14ac:dyDescent="0.25">
      <c r="A158" t="s">
        <v>54</v>
      </c>
      <c r="B158" t="s">
        <v>47</v>
      </c>
      <c r="C158" t="s">
        <v>18</v>
      </c>
      <c r="D158" t="s">
        <v>27</v>
      </c>
      <c r="E158">
        <v>1286.54</v>
      </c>
      <c r="F158">
        <v>8</v>
      </c>
      <c r="G158">
        <v>0</v>
      </c>
      <c r="H158" s="29">
        <v>45575</v>
      </c>
      <c r="I158">
        <v>450.29</v>
      </c>
      <c r="J158">
        <v>0</v>
      </c>
      <c r="K158">
        <v>421.72950000000003</v>
      </c>
      <c r="L158">
        <v>35904.769999999997</v>
      </c>
    </row>
    <row r="159" spans="1:12" x14ac:dyDescent="0.25">
      <c r="A159" t="s">
        <v>54</v>
      </c>
      <c r="B159" t="s">
        <v>66</v>
      </c>
      <c r="C159" t="s">
        <v>34</v>
      </c>
      <c r="D159" t="s">
        <v>15</v>
      </c>
      <c r="E159">
        <v>728.71</v>
      </c>
      <c r="F159">
        <v>14</v>
      </c>
      <c r="G159">
        <v>0.1</v>
      </c>
      <c r="H159" s="29">
        <v>45581</v>
      </c>
      <c r="I159">
        <v>327.92</v>
      </c>
      <c r="J159">
        <v>0.15000000000000002</v>
      </c>
      <c r="K159">
        <v>619.40350000000001</v>
      </c>
    </row>
    <row r="160" spans="1:12" x14ac:dyDescent="0.25">
      <c r="A160" t="s">
        <v>54</v>
      </c>
      <c r="B160" t="s">
        <v>48</v>
      </c>
      <c r="C160" t="s">
        <v>18</v>
      </c>
      <c r="D160" t="s">
        <v>12</v>
      </c>
      <c r="E160">
        <v>1010.58</v>
      </c>
      <c r="F160">
        <v>2</v>
      </c>
      <c r="G160">
        <v>0.15</v>
      </c>
      <c r="H160" s="29">
        <v>45605</v>
      </c>
      <c r="I160">
        <v>343.6</v>
      </c>
      <c r="J160">
        <v>0</v>
      </c>
      <c r="K160">
        <v>1010.58</v>
      </c>
    </row>
    <row r="161" spans="1:12" x14ac:dyDescent="0.25">
      <c r="A161" t="s">
        <v>54</v>
      </c>
      <c r="B161" t="s">
        <v>45</v>
      </c>
      <c r="C161" t="s">
        <v>18</v>
      </c>
      <c r="D161" t="s">
        <v>39</v>
      </c>
      <c r="E161">
        <v>1014.56</v>
      </c>
      <c r="F161">
        <v>10</v>
      </c>
      <c r="G161">
        <v>0.1</v>
      </c>
      <c r="H161" s="29">
        <v>45612</v>
      </c>
      <c r="I161">
        <v>410.9</v>
      </c>
      <c r="J161">
        <v>0</v>
      </c>
      <c r="K161">
        <v>1014.56</v>
      </c>
    </row>
    <row r="162" spans="1:12" x14ac:dyDescent="0.25">
      <c r="A162" t="s">
        <v>30</v>
      </c>
      <c r="B162" t="s">
        <v>31</v>
      </c>
      <c r="C162" t="s">
        <v>18</v>
      </c>
      <c r="D162" t="s">
        <v>27</v>
      </c>
      <c r="E162">
        <v>1074.47</v>
      </c>
      <c r="F162">
        <v>6</v>
      </c>
      <c r="G162">
        <v>0.2</v>
      </c>
      <c r="H162" s="29">
        <v>45401</v>
      </c>
      <c r="I162">
        <v>300.85000000000002</v>
      </c>
      <c r="J162">
        <v>0</v>
      </c>
      <c r="K162">
        <v>1074.47</v>
      </c>
    </row>
    <row r="163" spans="1:12" x14ac:dyDescent="0.25">
      <c r="A163" t="s">
        <v>30</v>
      </c>
      <c r="B163" t="s">
        <v>31</v>
      </c>
      <c r="C163" t="s">
        <v>34</v>
      </c>
      <c r="D163" t="s">
        <v>21</v>
      </c>
      <c r="E163">
        <v>645.02</v>
      </c>
      <c r="F163">
        <v>4</v>
      </c>
      <c r="G163">
        <v>0</v>
      </c>
      <c r="H163" s="29">
        <v>45414</v>
      </c>
      <c r="I163">
        <v>161.26</v>
      </c>
      <c r="J163">
        <v>0.15000000000000002</v>
      </c>
      <c r="K163">
        <v>548.26699999999994</v>
      </c>
    </row>
    <row r="164" spans="1:12" x14ac:dyDescent="0.25">
      <c r="A164" t="s">
        <v>30</v>
      </c>
      <c r="B164" t="s">
        <v>61</v>
      </c>
      <c r="C164" t="s">
        <v>24</v>
      </c>
      <c r="D164" t="s">
        <v>27</v>
      </c>
      <c r="E164">
        <v>1227.25</v>
      </c>
      <c r="F164">
        <v>12</v>
      </c>
      <c r="G164">
        <v>0.15</v>
      </c>
      <c r="H164" s="29">
        <v>45448</v>
      </c>
      <c r="I164">
        <v>365.11</v>
      </c>
      <c r="J164">
        <v>0.05</v>
      </c>
      <c r="K164">
        <v>345.95350000000002</v>
      </c>
      <c r="L164">
        <v>56348.989999999983</v>
      </c>
    </row>
    <row r="165" spans="1:12" x14ac:dyDescent="0.25">
      <c r="A165" t="s">
        <v>30</v>
      </c>
      <c r="B165" t="s">
        <v>31</v>
      </c>
      <c r="C165" t="s">
        <v>18</v>
      </c>
      <c r="D165" t="s">
        <v>27</v>
      </c>
      <c r="E165">
        <v>933.71</v>
      </c>
      <c r="F165">
        <v>17</v>
      </c>
      <c r="G165">
        <v>0.1</v>
      </c>
      <c r="H165" s="29">
        <v>45481</v>
      </c>
      <c r="I165">
        <v>294.12</v>
      </c>
      <c r="J165">
        <v>0</v>
      </c>
      <c r="K165">
        <v>933.71</v>
      </c>
    </row>
    <row r="166" spans="1:12" x14ac:dyDescent="0.25">
      <c r="A166" t="s">
        <v>30</v>
      </c>
      <c r="B166" t="s">
        <v>29</v>
      </c>
      <c r="C166" t="s">
        <v>11</v>
      </c>
      <c r="D166" t="s">
        <v>39</v>
      </c>
      <c r="E166">
        <v>1111.3399999999999</v>
      </c>
      <c r="F166">
        <v>1</v>
      </c>
      <c r="G166">
        <v>0</v>
      </c>
      <c r="H166" s="29">
        <v>45523</v>
      </c>
      <c r="I166">
        <v>500.1</v>
      </c>
      <c r="J166">
        <v>0</v>
      </c>
      <c r="K166">
        <v>1111.3399999999999</v>
      </c>
    </row>
    <row r="167" spans="1:12" x14ac:dyDescent="0.25">
      <c r="A167" t="s">
        <v>30</v>
      </c>
      <c r="B167" t="s">
        <v>59</v>
      </c>
      <c r="C167" t="s">
        <v>24</v>
      </c>
      <c r="D167" t="s">
        <v>27</v>
      </c>
      <c r="E167">
        <v>957.29</v>
      </c>
      <c r="F167">
        <v>4</v>
      </c>
      <c r="G167">
        <v>0.05</v>
      </c>
      <c r="H167" s="29">
        <v>45605</v>
      </c>
      <c r="I167">
        <v>318.3</v>
      </c>
      <c r="J167">
        <v>9.9999999999999992E-2</v>
      </c>
      <c r="K167">
        <v>861.56100000000004</v>
      </c>
    </row>
    <row r="168" spans="1:12" x14ac:dyDescent="0.25">
      <c r="A168" t="s">
        <v>30</v>
      </c>
      <c r="B168" t="s">
        <v>66</v>
      </c>
      <c r="C168" t="s">
        <v>18</v>
      </c>
      <c r="D168" t="s">
        <v>12</v>
      </c>
      <c r="E168">
        <v>1231.26</v>
      </c>
      <c r="F168">
        <v>9</v>
      </c>
      <c r="G168">
        <v>0</v>
      </c>
      <c r="H168" s="29">
        <v>45646</v>
      </c>
      <c r="I168">
        <v>492.5</v>
      </c>
      <c r="J168">
        <v>9.9999999999999992E-2</v>
      </c>
      <c r="K168">
        <v>273.10899999999998</v>
      </c>
      <c r="L168">
        <v>23179.360000000004</v>
      </c>
    </row>
    <row r="169" spans="1:12" x14ac:dyDescent="0.25">
      <c r="A169" t="s">
        <v>30</v>
      </c>
      <c r="B169" t="s">
        <v>43</v>
      </c>
      <c r="C169" t="s">
        <v>11</v>
      </c>
      <c r="D169" t="s">
        <v>21</v>
      </c>
      <c r="E169">
        <v>1161.67</v>
      </c>
      <c r="F169">
        <v>19</v>
      </c>
      <c r="G169">
        <v>0.2</v>
      </c>
      <c r="H169" s="29">
        <v>45647</v>
      </c>
      <c r="I169">
        <v>232.33</v>
      </c>
      <c r="J169">
        <v>0</v>
      </c>
      <c r="K169">
        <v>1161.67</v>
      </c>
    </row>
    <row r="170" spans="1:12" x14ac:dyDescent="0.25">
      <c r="A170" t="s">
        <v>30</v>
      </c>
      <c r="B170" t="s">
        <v>55</v>
      </c>
      <c r="C170" t="s">
        <v>11</v>
      </c>
      <c r="D170" t="s">
        <v>21</v>
      </c>
      <c r="E170">
        <v>1029.8</v>
      </c>
      <c r="F170">
        <v>3</v>
      </c>
      <c r="G170">
        <v>0</v>
      </c>
      <c r="H170" s="29">
        <v>45708</v>
      </c>
      <c r="I170">
        <v>257.45</v>
      </c>
      <c r="J170">
        <v>0</v>
      </c>
      <c r="K170">
        <v>1029.8</v>
      </c>
    </row>
    <row r="171" spans="1:12" x14ac:dyDescent="0.25">
      <c r="A171" t="s">
        <v>74</v>
      </c>
      <c r="B171" t="s">
        <v>38</v>
      </c>
      <c r="C171" t="s">
        <v>18</v>
      </c>
      <c r="D171" t="s">
        <v>39</v>
      </c>
      <c r="E171">
        <v>875.41</v>
      </c>
      <c r="F171">
        <v>13</v>
      </c>
      <c r="G171">
        <v>0.15</v>
      </c>
      <c r="H171" s="29">
        <v>45552</v>
      </c>
      <c r="I171">
        <v>334.84</v>
      </c>
      <c r="J171">
        <v>0.05</v>
      </c>
      <c r="K171">
        <v>831.63949999999988</v>
      </c>
    </row>
    <row r="172" spans="1:12" x14ac:dyDescent="0.25">
      <c r="A172" t="s">
        <v>74</v>
      </c>
      <c r="B172" t="s">
        <v>38</v>
      </c>
      <c r="C172" t="s">
        <v>24</v>
      </c>
      <c r="D172" t="s">
        <v>12</v>
      </c>
      <c r="E172">
        <v>585.97</v>
      </c>
      <c r="F172">
        <v>17</v>
      </c>
      <c r="G172">
        <v>0.1</v>
      </c>
      <c r="H172" s="29">
        <v>45565</v>
      </c>
      <c r="I172">
        <v>210.95</v>
      </c>
      <c r="J172">
        <v>0</v>
      </c>
      <c r="K172">
        <v>585.97</v>
      </c>
    </row>
    <row r="173" spans="1:12" x14ac:dyDescent="0.25">
      <c r="A173" t="s">
        <v>74</v>
      </c>
      <c r="B173" t="s">
        <v>23</v>
      </c>
      <c r="C173" t="s">
        <v>11</v>
      </c>
      <c r="D173" t="s">
        <v>15</v>
      </c>
      <c r="E173">
        <v>697.57</v>
      </c>
      <c r="F173">
        <v>17</v>
      </c>
      <c r="G173">
        <v>0.1</v>
      </c>
      <c r="H173" s="29">
        <v>45584</v>
      </c>
      <c r="I173">
        <v>313.91000000000003</v>
      </c>
      <c r="J173">
        <v>0.05</v>
      </c>
      <c r="K173">
        <v>662.69150000000002</v>
      </c>
    </row>
    <row r="174" spans="1:12" x14ac:dyDescent="0.25">
      <c r="A174" t="s">
        <v>74</v>
      </c>
      <c r="B174" t="s">
        <v>23</v>
      </c>
      <c r="C174" t="s">
        <v>11</v>
      </c>
      <c r="D174" t="s">
        <v>21</v>
      </c>
      <c r="E174">
        <v>258.51</v>
      </c>
      <c r="F174">
        <v>19</v>
      </c>
      <c r="G174">
        <v>0</v>
      </c>
      <c r="H174" s="29">
        <v>45616</v>
      </c>
      <c r="I174">
        <v>64.63</v>
      </c>
      <c r="J174">
        <v>9.9999999999999992E-2</v>
      </c>
      <c r="K174">
        <v>232.65899999999999</v>
      </c>
    </row>
    <row r="175" spans="1:12" x14ac:dyDescent="0.25">
      <c r="A175" t="s">
        <v>74</v>
      </c>
      <c r="B175" t="s">
        <v>29</v>
      </c>
      <c r="C175" t="s">
        <v>34</v>
      </c>
      <c r="D175" t="s">
        <v>21</v>
      </c>
      <c r="E175">
        <v>1488.58</v>
      </c>
      <c r="F175">
        <v>10</v>
      </c>
      <c r="G175">
        <v>0.15</v>
      </c>
      <c r="H175" s="29">
        <v>45640</v>
      </c>
      <c r="I175">
        <v>316.32</v>
      </c>
      <c r="J175">
        <v>9.9999999999999992E-2</v>
      </c>
      <c r="K175">
        <v>357.82</v>
      </c>
      <c r="L175">
        <v>23358.270000000004</v>
      </c>
    </row>
    <row r="176" spans="1:12" x14ac:dyDescent="0.25">
      <c r="A176" t="s">
        <v>52</v>
      </c>
      <c r="B176" t="s">
        <v>53</v>
      </c>
      <c r="C176" t="s">
        <v>18</v>
      </c>
      <c r="D176" t="s">
        <v>39</v>
      </c>
      <c r="E176">
        <v>983.34</v>
      </c>
      <c r="F176">
        <v>19</v>
      </c>
      <c r="G176">
        <v>0.1</v>
      </c>
      <c r="H176" s="29">
        <v>45426</v>
      </c>
      <c r="I176">
        <v>398.25</v>
      </c>
      <c r="J176">
        <v>0</v>
      </c>
      <c r="K176">
        <v>983.34</v>
      </c>
    </row>
    <row r="177" spans="1:12" x14ac:dyDescent="0.25">
      <c r="A177" t="s">
        <v>52</v>
      </c>
      <c r="B177" t="s">
        <v>23</v>
      </c>
      <c r="C177" t="s">
        <v>20</v>
      </c>
      <c r="D177" t="s">
        <v>21</v>
      </c>
      <c r="E177">
        <v>801.21</v>
      </c>
      <c r="F177">
        <v>3</v>
      </c>
      <c r="G177">
        <v>0.2</v>
      </c>
      <c r="H177" s="29">
        <v>45426</v>
      </c>
      <c r="I177">
        <v>160.24</v>
      </c>
      <c r="J177">
        <v>0.05</v>
      </c>
      <c r="K177">
        <v>761.14949999999999</v>
      </c>
    </row>
    <row r="178" spans="1:12" x14ac:dyDescent="0.25">
      <c r="A178" t="s">
        <v>52</v>
      </c>
      <c r="B178" t="s">
        <v>48</v>
      </c>
      <c r="C178" t="s">
        <v>34</v>
      </c>
      <c r="D178" t="s">
        <v>27</v>
      </c>
      <c r="E178">
        <v>1410.06</v>
      </c>
      <c r="F178">
        <v>11</v>
      </c>
      <c r="G178">
        <v>0.05</v>
      </c>
      <c r="H178" s="29">
        <v>45434</v>
      </c>
      <c r="I178">
        <v>468.84</v>
      </c>
      <c r="J178">
        <v>0</v>
      </c>
      <c r="K178">
        <v>388.82</v>
      </c>
      <c r="L178">
        <v>58702.439999999988</v>
      </c>
    </row>
    <row r="179" spans="1:12" x14ac:dyDescent="0.25">
      <c r="A179" t="s">
        <v>52</v>
      </c>
      <c r="B179" t="s">
        <v>23</v>
      </c>
      <c r="C179" t="s">
        <v>34</v>
      </c>
      <c r="D179" t="s">
        <v>39</v>
      </c>
      <c r="E179">
        <v>1025.98</v>
      </c>
      <c r="F179">
        <v>5</v>
      </c>
      <c r="G179">
        <v>0.2</v>
      </c>
      <c r="H179" s="29">
        <v>45447</v>
      </c>
      <c r="I179">
        <v>369.35</v>
      </c>
      <c r="J179">
        <v>0.05</v>
      </c>
      <c r="K179">
        <v>974.68099999999993</v>
      </c>
    </row>
    <row r="180" spans="1:12" x14ac:dyDescent="0.25">
      <c r="A180" t="s">
        <v>52</v>
      </c>
      <c r="B180" t="s">
        <v>50</v>
      </c>
      <c r="C180" t="s">
        <v>34</v>
      </c>
      <c r="D180" t="s">
        <v>21</v>
      </c>
      <c r="E180">
        <v>790.08</v>
      </c>
      <c r="F180">
        <v>7</v>
      </c>
      <c r="G180">
        <v>0.1</v>
      </c>
      <c r="H180" s="29">
        <v>45536</v>
      </c>
      <c r="I180">
        <v>177.77</v>
      </c>
      <c r="J180">
        <v>0</v>
      </c>
      <c r="K180">
        <v>790.08</v>
      </c>
    </row>
    <row r="181" spans="1:12" x14ac:dyDescent="0.25">
      <c r="A181" t="s">
        <v>52</v>
      </c>
      <c r="B181" t="s">
        <v>50</v>
      </c>
      <c r="C181" t="s">
        <v>20</v>
      </c>
      <c r="D181" t="s">
        <v>15</v>
      </c>
      <c r="E181">
        <v>1163.01</v>
      </c>
      <c r="F181">
        <v>5</v>
      </c>
      <c r="G181">
        <v>0</v>
      </c>
      <c r="H181" s="29">
        <v>45611</v>
      </c>
      <c r="I181">
        <v>581.5</v>
      </c>
      <c r="J181">
        <v>0</v>
      </c>
      <c r="K181">
        <v>1163.01</v>
      </c>
    </row>
    <row r="182" spans="1:12" x14ac:dyDescent="0.25">
      <c r="A182" t="s">
        <v>52</v>
      </c>
      <c r="B182" t="s">
        <v>48</v>
      </c>
      <c r="C182" t="s">
        <v>24</v>
      </c>
      <c r="D182" t="s">
        <v>39</v>
      </c>
      <c r="E182">
        <v>309.42</v>
      </c>
      <c r="F182">
        <v>1</v>
      </c>
      <c r="G182">
        <v>0.2</v>
      </c>
      <c r="H182" s="29">
        <v>45658</v>
      </c>
      <c r="I182">
        <v>111.39</v>
      </c>
      <c r="J182">
        <v>0</v>
      </c>
      <c r="K182">
        <v>309.42</v>
      </c>
    </row>
    <row r="183" spans="1:12" x14ac:dyDescent="0.25">
      <c r="A183" t="s">
        <v>52</v>
      </c>
      <c r="B183" t="s">
        <v>23</v>
      </c>
      <c r="C183" t="s">
        <v>34</v>
      </c>
      <c r="D183" t="s">
        <v>39</v>
      </c>
      <c r="E183">
        <v>745.05</v>
      </c>
      <c r="F183">
        <v>10</v>
      </c>
      <c r="G183">
        <v>0.1</v>
      </c>
      <c r="H183" s="29">
        <v>45660</v>
      </c>
      <c r="I183">
        <v>301.75</v>
      </c>
      <c r="J183">
        <v>0.05</v>
      </c>
      <c r="K183">
        <v>707.7974999999999</v>
      </c>
    </row>
    <row r="184" spans="1:12" x14ac:dyDescent="0.25">
      <c r="A184" t="s">
        <v>52</v>
      </c>
      <c r="B184" t="s">
        <v>23</v>
      </c>
      <c r="C184" t="s">
        <v>11</v>
      </c>
      <c r="D184" t="s">
        <v>21</v>
      </c>
      <c r="E184">
        <v>1115.22</v>
      </c>
      <c r="F184">
        <v>14</v>
      </c>
      <c r="G184">
        <v>0.2</v>
      </c>
      <c r="H184" s="29">
        <v>45705</v>
      </c>
      <c r="I184">
        <v>223.04</v>
      </c>
      <c r="J184">
        <v>0.05</v>
      </c>
      <c r="K184">
        <v>1059.4590000000001</v>
      </c>
    </row>
    <row r="185" spans="1:12" x14ac:dyDescent="0.25">
      <c r="A185" t="s">
        <v>52</v>
      </c>
      <c r="B185" t="s">
        <v>64</v>
      </c>
      <c r="C185" t="s">
        <v>24</v>
      </c>
      <c r="D185" t="s">
        <v>12</v>
      </c>
      <c r="E185">
        <v>710.52</v>
      </c>
      <c r="F185">
        <v>8</v>
      </c>
      <c r="G185">
        <v>0.1</v>
      </c>
      <c r="H185" s="29">
        <v>45721</v>
      </c>
      <c r="I185">
        <v>255.79</v>
      </c>
      <c r="J185">
        <v>0</v>
      </c>
      <c r="K185">
        <v>710.52</v>
      </c>
    </row>
    <row r="186" spans="1:12" x14ac:dyDescent="0.25">
      <c r="A186" t="s">
        <v>52</v>
      </c>
      <c r="B186" t="s">
        <v>59</v>
      </c>
      <c r="C186" t="s">
        <v>24</v>
      </c>
      <c r="D186" t="s">
        <v>12</v>
      </c>
      <c r="E186">
        <v>499.18</v>
      </c>
      <c r="F186">
        <v>15</v>
      </c>
      <c r="G186">
        <v>0.2</v>
      </c>
      <c r="H186" s="29">
        <v>45724</v>
      </c>
      <c r="I186">
        <v>159.74</v>
      </c>
      <c r="J186">
        <v>0.05</v>
      </c>
      <c r="K186">
        <v>474.221</v>
      </c>
    </row>
    <row r="187" spans="1:12" x14ac:dyDescent="0.25">
      <c r="A187" t="s">
        <v>52</v>
      </c>
      <c r="B187" t="s">
        <v>14</v>
      </c>
      <c r="C187" t="s">
        <v>20</v>
      </c>
      <c r="D187" t="s">
        <v>39</v>
      </c>
      <c r="E187">
        <v>740.8</v>
      </c>
      <c r="F187">
        <v>3</v>
      </c>
      <c r="G187">
        <v>0</v>
      </c>
      <c r="H187" s="29">
        <v>45749</v>
      </c>
      <c r="I187">
        <v>333.36</v>
      </c>
      <c r="J187">
        <v>0.15000000000000002</v>
      </c>
      <c r="K187">
        <v>629.67999999999995</v>
      </c>
    </row>
    <row r="188" spans="1:12" x14ac:dyDescent="0.25">
      <c r="A188" t="s">
        <v>41</v>
      </c>
      <c r="B188" t="s">
        <v>42</v>
      </c>
      <c r="C188" t="s">
        <v>24</v>
      </c>
      <c r="D188" t="s">
        <v>27</v>
      </c>
      <c r="E188">
        <v>521.66999999999996</v>
      </c>
      <c r="F188">
        <v>15</v>
      </c>
      <c r="G188">
        <v>0.15</v>
      </c>
      <c r="H188" s="29">
        <v>45409</v>
      </c>
      <c r="I188">
        <v>155.19999999999999</v>
      </c>
      <c r="J188">
        <v>0</v>
      </c>
      <c r="K188">
        <v>521.66999999999996</v>
      </c>
    </row>
    <row r="189" spans="1:12" x14ac:dyDescent="0.25">
      <c r="A189" t="s">
        <v>41</v>
      </c>
      <c r="B189" t="s">
        <v>64</v>
      </c>
      <c r="C189" t="s">
        <v>24</v>
      </c>
      <c r="D189" t="s">
        <v>21</v>
      </c>
      <c r="E189">
        <v>741.61</v>
      </c>
      <c r="F189">
        <v>1</v>
      </c>
      <c r="G189">
        <v>0.2</v>
      </c>
      <c r="H189" s="29">
        <v>45471</v>
      </c>
      <c r="I189">
        <v>148.32</v>
      </c>
      <c r="J189">
        <v>0</v>
      </c>
      <c r="K189">
        <v>741.61</v>
      </c>
    </row>
    <row r="190" spans="1:12" x14ac:dyDescent="0.25">
      <c r="A190" t="s">
        <v>41</v>
      </c>
      <c r="B190" t="s">
        <v>61</v>
      </c>
      <c r="C190" t="s">
        <v>20</v>
      </c>
      <c r="D190" t="s">
        <v>21</v>
      </c>
      <c r="E190">
        <v>1100.0999999999999</v>
      </c>
      <c r="F190">
        <v>5</v>
      </c>
      <c r="G190">
        <v>0.05</v>
      </c>
      <c r="H190" s="29">
        <v>45482</v>
      </c>
      <c r="I190">
        <v>261.27</v>
      </c>
      <c r="J190">
        <v>0.15000000000000002</v>
      </c>
      <c r="K190">
        <v>935.08499999999992</v>
      </c>
    </row>
    <row r="191" spans="1:12" x14ac:dyDescent="0.25">
      <c r="A191" t="s">
        <v>41</v>
      </c>
      <c r="B191" t="s">
        <v>61</v>
      </c>
      <c r="C191" t="s">
        <v>11</v>
      </c>
      <c r="D191" t="s">
        <v>27</v>
      </c>
      <c r="E191">
        <v>1172.97</v>
      </c>
      <c r="F191">
        <v>7</v>
      </c>
      <c r="G191">
        <v>0.15</v>
      </c>
      <c r="H191" s="29">
        <v>45559</v>
      </c>
      <c r="I191">
        <v>348.96</v>
      </c>
      <c r="J191">
        <v>0</v>
      </c>
      <c r="K191">
        <v>1172.97</v>
      </c>
    </row>
    <row r="192" spans="1:12" x14ac:dyDescent="0.25">
      <c r="A192" t="s">
        <v>41</v>
      </c>
      <c r="B192" t="s">
        <v>45</v>
      </c>
      <c r="C192" t="s">
        <v>18</v>
      </c>
      <c r="D192" t="s">
        <v>21</v>
      </c>
      <c r="E192">
        <v>919.18</v>
      </c>
      <c r="F192">
        <v>4</v>
      </c>
      <c r="G192">
        <v>0.15</v>
      </c>
      <c r="H192" s="29">
        <v>45615</v>
      </c>
      <c r="I192">
        <v>195.33</v>
      </c>
      <c r="J192">
        <v>0</v>
      </c>
      <c r="K192">
        <v>919.18</v>
      </c>
    </row>
    <row r="193" spans="1:12" x14ac:dyDescent="0.25">
      <c r="A193" t="s">
        <v>41</v>
      </c>
      <c r="B193" t="s">
        <v>55</v>
      </c>
      <c r="C193" t="s">
        <v>11</v>
      </c>
      <c r="D193" t="s">
        <v>15</v>
      </c>
      <c r="E193">
        <v>864.98</v>
      </c>
      <c r="F193">
        <v>2</v>
      </c>
      <c r="G193">
        <v>0.05</v>
      </c>
      <c r="H193" s="29">
        <v>45727</v>
      </c>
      <c r="I193">
        <v>410.87</v>
      </c>
      <c r="J193">
        <v>0</v>
      </c>
      <c r="K193">
        <v>864.98</v>
      </c>
    </row>
    <row r="194" spans="1:12" x14ac:dyDescent="0.25">
      <c r="A194" t="s">
        <v>41</v>
      </c>
      <c r="B194" t="s">
        <v>26</v>
      </c>
      <c r="C194" t="s">
        <v>24</v>
      </c>
      <c r="D194" t="s">
        <v>21</v>
      </c>
      <c r="E194">
        <v>458.54</v>
      </c>
      <c r="F194">
        <v>15</v>
      </c>
      <c r="G194">
        <v>0.2</v>
      </c>
      <c r="H194" s="29">
        <v>45741</v>
      </c>
      <c r="I194">
        <v>91.71</v>
      </c>
      <c r="J194">
        <v>0</v>
      </c>
      <c r="K194">
        <v>458.54</v>
      </c>
    </row>
    <row r="195" spans="1:12" x14ac:dyDescent="0.25">
      <c r="A195" t="s">
        <v>22</v>
      </c>
      <c r="B195" t="s">
        <v>23</v>
      </c>
      <c r="C195" t="s">
        <v>24</v>
      </c>
      <c r="D195" t="s">
        <v>12</v>
      </c>
      <c r="E195">
        <v>847</v>
      </c>
      <c r="F195">
        <v>12</v>
      </c>
      <c r="G195">
        <v>0.2</v>
      </c>
      <c r="H195" s="29">
        <v>45397</v>
      </c>
      <c r="I195">
        <v>271.04000000000002</v>
      </c>
      <c r="J195">
        <v>9.9999999999999992E-2</v>
      </c>
      <c r="K195">
        <v>762.30000000000007</v>
      </c>
    </row>
    <row r="196" spans="1:12" x14ac:dyDescent="0.25">
      <c r="A196" t="s">
        <v>22</v>
      </c>
      <c r="B196" t="s">
        <v>51</v>
      </c>
      <c r="C196" t="s">
        <v>24</v>
      </c>
      <c r="D196" t="s">
        <v>27</v>
      </c>
      <c r="E196">
        <v>675.54</v>
      </c>
      <c r="F196">
        <v>17</v>
      </c>
      <c r="G196">
        <v>0</v>
      </c>
      <c r="H196" s="29">
        <v>45420</v>
      </c>
      <c r="I196">
        <v>236.44</v>
      </c>
      <c r="J196">
        <v>0</v>
      </c>
      <c r="K196">
        <v>675.54</v>
      </c>
    </row>
    <row r="197" spans="1:12" x14ac:dyDescent="0.25">
      <c r="A197" t="s">
        <v>22</v>
      </c>
      <c r="B197" t="s">
        <v>64</v>
      </c>
      <c r="C197" t="s">
        <v>20</v>
      </c>
      <c r="D197" t="s">
        <v>27</v>
      </c>
      <c r="E197">
        <v>1086.93</v>
      </c>
      <c r="F197">
        <v>2</v>
      </c>
      <c r="G197">
        <v>0</v>
      </c>
      <c r="H197" s="29">
        <v>45464</v>
      </c>
      <c r="I197">
        <v>380.43</v>
      </c>
      <c r="J197">
        <v>0.05</v>
      </c>
      <c r="K197">
        <v>1032.5835</v>
      </c>
    </row>
    <row r="198" spans="1:12" x14ac:dyDescent="0.25">
      <c r="A198" t="s">
        <v>22</v>
      </c>
      <c r="B198" t="s">
        <v>66</v>
      </c>
      <c r="C198" t="s">
        <v>34</v>
      </c>
      <c r="D198" t="s">
        <v>12</v>
      </c>
      <c r="E198">
        <v>973.26</v>
      </c>
      <c r="F198">
        <v>11</v>
      </c>
      <c r="G198">
        <v>0</v>
      </c>
      <c r="H198" s="29">
        <v>45470</v>
      </c>
      <c r="I198">
        <v>389.3</v>
      </c>
      <c r="J198">
        <v>0.15000000000000002</v>
      </c>
      <c r="K198">
        <v>827.27099999999996</v>
      </c>
    </row>
    <row r="199" spans="1:12" x14ac:dyDescent="0.25">
      <c r="A199" t="s">
        <v>22</v>
      </c>
      <c r="B199" t="s">
        <v>55</v>
      </c>
      <c r="C199" t="s">
        <v>34</v>
      </c>
      <c r="D199" t="s">
        <v>21</v>
      </c>
      <c r="E199">
        <v>608.66</v>
      </c>
      <c r="F199">
        <v>1</v>
      </c>
      <c r="G199">
        <v>0.05</v>
      </c>
      <c r="H199" s="29">
        <v>45503</v>
      </c>
      <c r="I199">
        <v>144.56</v>
      </c>
      <c r="J199">
        <v>0</v>
      </c>
      <c r="K199">
        <v>608.66</v>
      </c>
    </row>
    <row r="200" spans="1:12" x14ac:dyDescent="0.25">
      <c r="A200" t="s">
        <v>22</v>
      </c>
      <c r="B200" t="s">
        <v>31</v>
      </c>
      <c r="C200" t="s">
        <v>18</v>
      </c>
      <c r="D200" t="s">
        <v>15</v>
      </c>
      <c r="E200">
        <v>1291.47</v>
      </c>
      <c r="F200">
        <v>18</v>
      </c>
      <c r="G200">
        <v>0.1</v>
      </c>
      <c r="H200" s="29">
        <v>45526</v>
      </c>
      <c r="I200">
        <v>581.16</v>
      </c>
      <c r="J200">
        <v>0</v>
      </c>
      <c r="K200">
        <v>337.86500000000001</v>
      </c>
      <c r="L200">
        <v>45145.099999999991</v>
      </c>
    </row>
    <row r="201" spans="1:12" x14ac:dyDescent="0.25">
      <c r="A201" t="s">
        <v>22</v>
      </c>
      <c r="B201" t="s">
        <v>43</v>
      </c>
      <c r="C201" t="s">
        <v>11</v>
      </c>
      <c r="D201" t="s">
        <v>15</v>
      </c>
      <c r="E201">
        <v>585.16</v>
      </c>
      <c r="F201">
        <v>17</v>
      </c>
      <c r="G201">
        <v>0.1</v>
      </c>
      <c r="H201" s="29">
        <v>45684</v>
      </c>
      <c r="I201">
        <v>263.32</v>
      </c>
      <c r="J201">
        <v>0.15000000000000002</v>
      </c>
      <c r="K201">
        <v>497.38599999999997</v>
      </c>
    </row>
    <row r="202" spans="1:12" x14ac:dyDescent="0.25">
      <c r="A202" t="s">
        <v>22</v>
      </c>
      <c r="B202" t="s">
        <v>31</v>
      </c>
      <c r="C202" t="s">
        <v>18</v>
      </c>
      <c r="D202" t="s">
        <v>15</v>
      </c>
      <c r="E202">
        <v>1109.98</v>
      </c>
      <c r="F202">
        <v>5</v>
      </c>
      <c r="G202">
        <v>0.2</v>
      </c>
      <c r="H202" s="29">
        <v>45690</v>
      </c>
      <c r="I202">
        <v>443.99</v>
      </c>
      <c r="J202">
        <v>0.05</v>
      </c>
      <c r="K202">
        <v>1054.481</v>
      </c>
    </row>
    <row r="203" spans="1:12" x14ac:dyDescent="0.25">
      <c r="A203" t="s">
        <v>22</v>
      </c>
      <c r="B203" t="s">
        <v>53</v>
      </c>
      <c r="C203" t="s">
        <v>24</v>
      </c>
      <c r="D203" t="s">
        <v>12</v>
      </c>
      <c r="E203">
        <v>750.71</v>
      </c>
      <c r="F203">
        <v>10</v>
      </c>
      <c r="G203">
        <v>0.15</v>
      </c>
      <c r="H203" s="29">
        <v>45743</v>
      </c>
      <c r="I203">
        <v>255.24</v>
      </c>
      <c r="J203">
        <v>0</v>
      </c>
      <c r="K203">
        <v>750.71</v>
      </c>
    </row>
    <row r="204" spans="1:12" x14ac:dyDescent="0.25">
      <c r="J204">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17667-0B12-44DA-AFFF-42642D6C589D}">
  <dimension ref="A1:B14"/>
  <sheetViews>
    <sheetView workbookViewId="0">
      <selection activeCell="B3" sqref="B3:B14"/>
    </sheetView>
  </sheetViews>
  <sheetFormatPr defaultRowHeight="15" x14ac:dyDescent="0.25"/>
  <cols>
    <col min="1" max="1" width="13.42578125" bestFit="1" customWidth="1"/>
    <col min="2" max="2" width="12.5703125" bestFit="1" customWidth="1"/>
  </cols>
  <sheetData>
    <row r="1" spans="1:2" x14ac:dyDescent="0.25">
      <c r="A1" s="21" t="s">
        <v>4</v>
      </c>
      <c r="B1" t="s">
        <v>142</v>
      </c>
    </row>
    <row r="3" spans="1:2" x14ac:dyDescent="0.25">
      <c r="A3" s="21" t="s">
        <v>116</v>
      </c>
      <c r="B3" s="30" t="s">
        <v>122</v>
      </c>
    </row>
    <row r="4" spans="1:2" x14ac:dyDescent="0.25">
      <c r="A4" s="22" t="s">
        <v>25</v>
      </c>
      <c r="B4" s="31">
        <v>9941.880000000001</v>
      </c>
    </row>
    <row r="5" spans="1:2" x14ac:dyDescent="0.25">
      <c r="A5" s="22" t="s">
        <v>44</v>
      </c>
      <c r="B5" s="31">
        <v>9760.8000000000011</v>
      </c>
    </row>
    <row r="6" spans="1:2" x14ac:dyDescent="0.25">
      <c r="A6" s="22" t="s">
        <v>67</v>
      </c>
      <c r="B6" s="31">
        <v>8490.18</v>
      </c>
    </row>
    <row r="7" spans="1:2" x14ac:dyDescent="0.25">
      <c r="A7" s="22" t="s">
        <v>72</v>
      </c>
      <c r="B7" s="31">
        <v>7813.59</v>
      </c>
    </row>
    <row r="8" spans="1:2" x14ac:dyDescent="0.25">
      <c r="A8" s="22" t="s">
        <v>19</v>
      </c>
      <c r="B8" s="31">
        <v>6666.130000000001</v>
      </c>
    </row>
    <row r="9" spans="1:2" x14ac:dyDescent="0.25">
      <c r="A9" s="22" t="s">
        <v>28</v>
      </c>
      <c r="B9" s="31">
        <v>6549.55</v>
      </c>
    </row>
    <row r="10" spans="1:2" x14ac:dyDescent="0.25">
      <c r="A10" s="22" t="s">
        <v>32</v>
      </c>
      <c r="B10" s="31">
        <v>6505.2</v>
      </c>
    </row>
    <row r="11" spans="1:2" x14ac:dyDescent="0.25">
      <c r="A11" s="22" t="s">
        <v>65</v>
      </c>
      <c r="B11" s="31">
        <v>6481.43</v>
      </c>
    </row>
    <row r="12" spans="1:2" x14ac:dyDescent="0.25">
      <c r="A12" s="22" t="s">
        <v>35</v>
      </c>
      <c r="B12" s="31">
        <v>4259.22</v>
      </c>
    </row>
    <row r="13" spans="1:2" x14ac:dyDescent="0.25">
      <c r="A13" s="22" t="s">
        <v>46</v>
      </c>
      <c r="B13" s="31">
        <v>2699.75</v>
      </c>
    </row>
    <row r="14" spans="1:2" x14ac:dyDescent="0.25">
      <c r="A14" s="22" t="s">
        <v>118</v>
      </c>
      <c r="B14" s="31">
        <v>69167.73000000001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F8EF3-C9E7-4EA2-992B-C58C3182EB81}">
  <dimension ref="A3:E22"/>
  <sheetViews>
    <sheetView topLeftCell="A4" zoomScale="96" workbookViewId="0">
      <selection activeCell="E6" sqref="E6"/>
    </sheetView>
  </sheetViews>
  <sheetFormatPr defaultRowHeight="15" x14ac:dyDescent="0.25"/>
  <cols>
    <col min="1" max="1" width="20.85546875" bestFit="1" customWidth="1"/>
    <col min="2" max="2" width="12.5703125" bestFit="1" customWidth="1"/>
  </cols>
  <sheetData>
    <row r="3" spans="1:5" x14ac:dyDescent="0.25">
      <c r="A3" s="21" t="s">
        <v>116</v>
      </c>
      <c r="B3" t="s">
        <v>122</v>
      </c>
    </row>
    <row r="4" spans="1:5" x14ac:dyDescent="0.25">
      <c r="A4" s="22" t="s">
        <v>19</v>
      </c>
      <c r="B4" s="28">
        <v>6666.130000000001</v>
      </c>
    </row>
    <row r="5" spans="1:5" x14ac:dyDescent="0.25">
      <c r="A5" s="23" t="s">
        <v>42</v>
      </c>
      <c r="B5" s="28">
        <v>1151.21</v>
      </c>
    </row>
    <row r="6" spans="1:5" x14ac:dyDescent="0.25">
      <c r="A6" s="23" t="s">
        <v>53</v>
      </c>
      <c r="B6" s="28">
        <v>1261.3399999999999</v>
      </c>
      <c r="E6" t="str">
        <f>INDEX(A2:A201,MATCH(MAX(B2:B201),B2:B201,0))</f>
        <v>Grand Total</v>
      </c>
    </row>
    <row r="7" spans="1:5" x14ac:dyDescent="0.25">
      <c r="A7" s="23" t="s">
        <v>48</v>
      </c>
      <c r="B7" s="28">
        <v>1070.68</v>
      </c>
    </row>
    <row r="8" spans="1:5" x14ac:dyDescent="0.25">
      <c r="A8" s="23" t="s">
        <v>14</v>
      </c>
      <c r="B8" s="28">
        <v>1679.9699999999998</v>
      </c>
    </row>
    <row r="9" spans="1:5" x14ac:dyDescent="0.25">
      <c r="A9" s="23" t="s">
        <v>43</v>
      </c>
      <c r="B9" s="28">
        <v>1502.93</v>
      </c>
    </row>
    <row r="10" spans="1:5" x14ac:dyDescent="0.25">
      <c r="A10" s="22" t="s">
        <v>46</v>
      </c>
      <c r="B10" s="28">
        <v>2699.75</v>
      </c>
    </row>
    <row r="11" spans="1:5" x14ac:dyDescent="0.25">
      <c r="A11" s="23" t="s">
        <v>71</v>
      </c>
      <c r="B11" s="28">
        <v>1193.6099999999999</v>
      </c>
    </row>
    <row r="12" spans="1:5" x14ac:dyDescent="0.25">
      <c r="A12" s="23" t="s">
        <v>47</v>
      </c>
      <c r="B12" s="28">
        <v>1506.14</v>
      </c>
    </row>
    <row r="13" spans="1:5" x14ac:dyDescent="0.25">
      <c r="A13" s="22" t="s">
        <v>25</v>
      </c>
      <c r="B13" s="28">
        <v>9941.880000000001</v>
      </c>
    </row>
    <row r="14" spans="1:5" x14ac:dyDescent="0.25">
      <c r="A14" s="23" t="s">
        <v>55</v>
      </c>
      <c r="B14" s="28">
        <v>2173.1999999999998</v>
      </c>
    </row>
    <row r="15" spans="1:5" x14ac:dyDescent="0.25">
      <c r="A15" s="23" t="s">
        <v>38</v>
      </c>
      <c r="B15" s="28">
        <v>833.91</v>
      </c>
    </row>
    <row r="16" spans="1:5" x14ac:dyDescent="0.25">
      <c r="A16" s="23" t="s">
        <v>66</v>
      </c>
      <c r="B16" s="28">
        <v>1101.55</v>
      </c>
    </row>
    <row r="17" spans="1:2" x14ac:dyDescent="0.25">
      <c r="A17" s="23" t="s">
        <v>10</v>
      </c>
      <c r="B17" s="28">
        <v>762.14</v>
      </c>
    </row>
    <row r="18" spans="1:2" x14ac:dyDescent="0.25">
      <c r="A18" s="23" t="s">
        <v>33</v>
      </c>
      <c r="B18" s="28">
        <v>1021.47</v>
      </c>
    </row>
    <row r="19" spans="1:2" x14ac:dyDescent="0.25">
      <c r="A19" s="23" t="s">
        <v>48</v>
      </c>
      <c r="B19" s="28">
        <v>953.3</v>
      </c>
    </row>
    <row r="20" spans="1:2" x14ac:dyDescent="0.25">
      <c r="A20" s="23" t="s">
        <v>26</v>
      </c>
      <c r="B20" s="28">
        <v>2157.2199999999998</v>
      </c>
    </row>
    <row r="21" spans="1:2" x14ac:dyDescent="0.25">
      <c r="A21" s="23" t="s">
        <v>14</v>
      </c>
      <c r="B21" s="28">
        <v>939.09</v>
      </c>
    </row>
    <row r="22" spans="1:2" x14ac:dyDescent="0.25">
      <c r="A22" s="22" t="s">
        <v>118</v>
      </c>
      <c r="B22" s="28">
        <v>19307.759999999998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D2B12-AA77-4B47-8F88-4F3FAAB7D283}">
  <dimension ref="A1:J18"/>
  <sheetViews>
    <sheetView zoomScale="84" workbookViewId="0">
      <selection activeCell="D6" sqref="D6"/>
    </sheetView>
  </sheetViews>
  <sheetFormatPr defaultRowHeight="15" x14ac:dyDescent="0.25"/>
  <cols>
    <col min="1" max="1" width="14.140625" customWidth="1"/>
    <col min="6" max="6" width="10.5703125" customWidth="1"/>
  </cols>
  <sheetData>
    <row r="1" spans="1:10" x14ac:dyDescent="0.25">
      <c r="A1" s="6" t="s">
        <v>80</v>
      </c>
    </row>
    <row r="3" spans="1:10" x14ac:dyDescent="0.25">
      <c r="A3" s="15" t="s">
        <v>81</v>
      </c>
      <c r="B3" s="16"/>
    </row>
    <row r="4" spans="1:10" x14ac:dyDescent="0.25">
      <c r="A4" s="17" t="s">
        <v>82</v>
      </c>
      <c r="B4" s="9">
        <v>0.77340306414342619</v>
      </c>
    </row>
    <row r="5" spans="1:10" x14ac:dyDescent="0.25">
      <c r="A5" s="17" t="s">
        <v>83</v>
      </c>
      <c r="B5" s="9">
        <v>0.59815229962644056</v>
      </c>
    </row>
    <row r="6" spans="1:10" x14ac:dyDescent="0.25">
      <c r="A6" s="17" t="s">
        <v>84</v>
      </c>
      <c r="B6" s="9">
        <v>0.59612276578617007</v>
      </c>
    </row>
    <row r="7" spans="1:10" x14ac:dyDescent="0.25">
      <c r="A7" s="17" t="s">
        <v>85</v>
      </c>
      <c r="B7" s="9">
        <v>86.281230529665166</v>
      </c>
    </row>
    <row r="8" spans="1:10" x14ac:dyDescent="0.25">
      <c r="A8" s="17" t="s">
        <v>86</v>
      </c>
      <c r="B8" s="9">
        <v>200</v>
      </c>
    </row>
    <row r="10" spans="1:10" x14ac:dyDescent="0.25">
      <c r="A10" s="6" t="s">
        <v>87</v>
      </c>
    </row>
    <row r="11" spans="1:10" x14ac:dyDescent="0.25">
      <c r="A11" s="18"/>
      <c r="B11" s="19" t="s">
        <v>92</v>
      </c>
      <c r="C11" s="19" t="s">
        <v>93</v>
      </c>
      <c r="D11" s="19" t="s">
        <v>94</v>
      </c>
      <c r="E11" s="19" t="s">
        <v>95</v>
      </c>
      <c r="F11" s="19" t="s">
        <v>96</v>
      </c>
    </row>
    <row r="12" spans="1:10" x14ac:dyDescent="0.25">
      <c r="A12" s="17" t="s">
        <v>88</v>
      </c>
      <c r="B12" s="9">
        <v>1</v>
      </c>
      <c r="C12" s="9">
        <v>2194058.1833402822</v>
      </c>
      <c r="D12" s="9">
        <v>2194058.1833402822</v>
      </c>
      <c r="E12" s="20">
        <v>294.72398427548114</v>
      </c>
      <c r="F12" s="20">
        <v>4.6269367558910499E-41</v>
      </c>
    </row>
    <row r="13" spans="1:10" x14ac:dyDescent="0.25">
      <c r="A13" s="17" t="s">
        <v>89</v>
      </c>
      <c r="B13" s="9">
        <v>198</v>
      </c>
      <c r="C13" s="9">
        <v>1474001.2468592182</v>
      </c>
      <c r="D13" s="11">
        <v>7444.4507417132236</v>
      </c>
    </row>
    <row r="14" spans="1:10" x14ac:dyDescent="0.25">
      <c r="A14" s="17" t="s">
        <v>90</v>
      </c>
      <c r="B14" s="9">
        <v>199</v>
      </c>
      <c r="C14" s="9">
        <v>3668059.4301995002</v>
      </c>
      <c r="D14" s="11"/>
    </row>
    <row r="16" spans="1:10" x14ac:dyDescent="0.25">
      <c r="A16" s="19"/>
      <c r="B16" s="19" t="s">
        <v>97</v>
      </c>
      <c r="C16" s="19" t="s">
        <v>85</v>
      </c>
      <c r="D16" s="19" t="s">
        <v>98</v>
      </c>
      <c r="E16" s="19" t="s">
        <v>99</v>
      </c>
      <c r="F16" s="19" t="s">
        <v>100</v>
      </c>
      <c r="G16" s="19" t="s">
        <v>101</v>
      </c>
      <c r="H16" s="19" t="s">
        <v>102</v>
      </c>
      <c r="I16" s="19" t="s">
        <v>103</v>
      </c>
      <c r="J16" s="6"/>
    </row>
    <row r="17" spans="1:9" x14ac:dyDescent="0.25">
      <c r="A17" s="17" t="s">
        <v>91</v>
      </c>
      <c r="B17" s="9">
        <v>-1.0315504901911368</v>
      </c>
      <c r="C17" s="9">
        <v>20.860617005445505</v>
      </c>
      <c r="D17" s="9">
        <v>-4.9449663445805959E-2</v>
      </c>
      <c r="E17" s="9">
        <v>0.96061079696907459</v>
      </c>
      <c r="F17" s="9">
        <v>-42.169051823378965</v>
      </c>
      <c r="G17" s="9">
        <v>40.105950842996691</v>
      </c>
      <c r="H17" s="9">
        <v>-42.169051823378965</v>
      </c>
      <c r="I17" s="9">
        <v>40.105950842996691</v>
      </c>
    </row>
    <row r="18" spans="1:9" x14ac:dyDescent="0.25">
      <c r="A18" s="17" t="s">
        <v>4</v>
      </c>
      <c r="B18" s="9">
        <v>0.35085598819512254</v>
      </c>
      <c r="C18" s="9">
        <v>2.0437188630135626E-2</v>
      </c>
      <c r="D18" s="9">
        <v>17.167527028535048</v>
      </c>
      <c r="E18" s="9">
        <v>4.6269367558907868E-41</v>
      </c>
      <c r="F18" s="9">
        <v>0.31055349501865764</v>
      </c>
      <c r="G18" s="9">
        <v>0.39115848137158743</v>
      </c>
      <c r="H18" s="9">
        <v>0.31055349501865764</v>
      </c>
      <c r="I18" s="9">
        <v>0.39115848137158743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BB07A-7617-476B-B969-1939AB81519E}">
  <dimension ref="A1:B16"/>
  <sheetViews>
    <sheetView workbookViewId="0">
      <selection activeCell="E12" sqref="E12"/>
    </sheetView>
  </sheetViews>
  <sheetFormatPr defaultRowHeight="15" x14ac:dyDescent="0.25"/>
  <sheetData>
    <row r="1" spans="1:2" x14ac:dyDescent="0.25">
      <c r="A1" s="14" t="s">
        <v>4</v>
      </c>
      <c r="B1" s="14"/>
    </row>
    <row r="3" spans="1:2" x14ac:dyDescent="0.25">
      <c r="A3" t="s">
        <v>104</v>
      </c>
      <c r="B3">
        <v>976.08879999999965</v>
      </c>
    </row>
    <row r="4" spans="1:2" x14ac:dyDescent="0.25">
      <c r="A4" t="s">
        <v>85</v>
      </c>
      <c r="B4">
        <v>21.161850448978406</v>
      </c>
    </row>
    <row r="5" spans="1:2" x14ac:dyDescent="0.25">
      <c r="A5" t="s">
        <v>105</v>
      </c>
      <c r="B5">
        <v>976.72</v>
      </c>
    </row>
    <row r="6" spans="1:2" x14ac:dyDescent="0.25">
      <c r="A6" t="s">
        <v>106</v>
      </c>
      <c r="B6" t="e">
        <v>#N/A</v>
      </c>
    </row>
    <row r="7" spans="1:2" x14ac:dyDescent="0.25">
      <c r="A7" t="s">
        <v>107</v>
      </c>
      <c r="B7">
        <v>299.27375909856431</v>
      </c>
    </row>
    <row r="8" spans="1:2" x14ac:dyDescent="0.25">
      <c r="A8" t="s">
        <v>108</v>
      </c>
      <c r="B8">
        <v>89564.782884985514</v>
      </c>
    </row>
    <row r="9" spans="1:2" x14ac:dyDescent="0.25">
      <c r="A9" t="s">
        <v>109</v>
      </c>
      <c r="B9">
        <v>-8.8595231919740502E-2</v>
      </c>
    </row>
    <row r="10" spans="1:2" x14ac:dyDescent="0.25">
      <c r="A10" t="s">
        <v>110</v>
      </c>
      <c r="B10">
        <v>0.14685796564193557</v>
      </c>
    </row>
    <row r="11" spans="1:2" x14ac:dyDescent="0.25">
      <c r="A11" t="s">
        <v>111</v>
      </c>
      <c r="B11">
        <v>1665.15</v>
      </c>
    </row>
    <row r="12" spans="1:2" x14ac:dyDescent="0.25">
      <c r="A12" t="s">
        <v>112</v>
      </c>
      <c r="B12">
        <v>258.51</v>
      </c>
    </row>
    <row r="13" spans="1:2" x14ac:dyDescent="0.25">
      <c r="A13" t="s">
        <v>113</v>
      </c>
      <c r="B13">
        <v>1923.66</v>
      </c>
    </row>
    <row r="14" spans="1:2" x14ac:dyDescent="0.25">
      <c r="A14" t="s">
        <v>114</v>
      </c>
      <c r="B14">
        <v>195217.75999999992</v>
      </c>
    </row>
    <row r="15" spans="1:2" ht="15.75" thickBot="1" x14ac:dyDescent="0.3">
      <c r="A15" s="13" t="s">
        <v>115</v>
      </c>
      <c r="B15" s="13">
        <v>200</v>
      </c>
    </row>
    <row r="16" spans="1:2" x14ac:dyDescent="0.25">
      <c r="B16">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16D42-2EFD-4A83-BDD2-A95BAB87A3AE}">
  <dimension ref="A1:B20"/>
  <sheetViews>
    <sheetView workbookViewId="0">
      <selection activeCell="A4" sqref="A4"/>
    </sheetView>
  </sheetViews>
  <sheetFormatPr defaultRowHeight="15" x14ac:dyDescent="0.25"/>
  <cols>
    <col min="1" max="1" width="13.42578125" bestFit="1" customWidth="1"/>
    <col min="2" max="2" width="12.5703125" bestFit="1" customWidth="1"/>
  </cols>
  <sheetData>
    <row r="1" spans="1:2" x14ac:dyDescent="0.25">
      <c r="A1" t="s">
        <v>138</v>
      </c>
    </row>
    <row r="3" spans="1:2" x14ac:dyDescent="0.25">
      <c r="A3" s="21" t="s">
        <v>116</v>
      </c>
      <c r="B3" t="s">
        <v>122</v>
      </c>
    </row>
    <row r="4" spans="1:2" x14ac:dyDescent="0.25">
      <c r="A4" s="22" t="s">
        <v>119</v>
      </c>
      <c r="B4" s="28"/>
    </row>
    <row r="5" spans="1:2" x14ac:dyDescent="0.25">
      <c r="A5" s="22" t="s">
        <v>120</v>
      </c>
      <c r="B5" s="28">
        <v>145429.36000000002</v>
      </c>
    </row>
    <row r="6" spans="1:2" x14ac:dyDescent="0.25">
      <c r="A6" s="23" t="s">
        <v>123</v>
      </c>
      <c r="B6" s="28">
        <v>19029.96</v>
      </c>
    </row>
    <row r="7" spans="1:2" x14ac:dyDescent="0.25">
      <c r="A7" s="23" t="s">
        <v>124</v>
      </c>
      <c r="B7" s="28">
        <v>18507.339999999997</v>
      </c>
    </row>
    <row r="8" spans="1:2" x14ac:dyDescent="0.25">
      <c r="A8" s="23" t="s">
        <v>125</v>
      </c>
      <c r="B8" s="28">
        <v>20187.509999999998</v>
      </c>
    </row>
    <row r="9" spans="1:2" x14ac:dyDescent="0.25">
      <c r="A9" s="23" t="s">
        <v>126</v>
      </c>
      <c r="B9" s="28">
        <v>11609.039999999999</v>
      </c>
    </row>
    <row r="10" spans="1:2" x14ac:dyDescent="0.25">
      <c r="A10" s="23" t="s">
        <v>127</v>
      </c>
      <c r="B10" s="28">
        <v>10091.699999999999</v>
      </c>
    </row>
    <row r="11" spans="1:2" x14ac:dyDescent="0.25">
      <c r="A11" s="23" t="s">
        <v>128</v>
      </c>
      <c r="B11" s="28">
        <v>20533.499999999996</v>
      </c>
    </row>
    <row r="12" spans="1:2" x14ac:dyDescent="0.25">
      <c r="A12" s="23" t="s">
        <v>129</v>
      </c>
      <c r="B12" s="28">
        <v>14215.240000000002</v>
      </c>
    </row>
    <row r="13" spans="1:2" x14ac:dyDescent="0.25">
      <c r="A13" s="23" t="s">
        <v>130</v>
      </c>
      <c r="B13" s="28">
        <v>20135.030000000002</v>
      </c>
    </row>
    <row r="14" spans="1:2" x14ac:dyDescent="0.25">
      <c r="A14" s="23" t="s">
        <v>131</v>
      </c>
      <c r="B14" s="28">
        <v>11120.04</v>
      </c>
    </row>
    <row r="15" spans="1:2" x14ac:dyDescent="0.25">
      <c r="A15" s="22" t="s">
        <v>121</v>
      </c>
      <c r="B15" s="28">
        <v>49788.399999999994</v>
      </c>
    </row>
    <row r="16" spans="1:2" x14ac:dyDescent="0.25">
      <c r="A16" s="23" t="s">
        <v>132</v>
      </c>
      <c r="B16" s="28">
        <v>14914.650000000001</v>
      </c>
    </row>
    <row r="17" spans="1:2" x14ac:dyDescent="0.25">
      <c r="A17" s="23" t="s">
        <v>133</v>
      </c>
      <c r="B17" s="28">
        <v>14006.359999999999</v>
      </c>
    </row>
    <row r="18" spans="1:2" x14ac:dyDescent="0.25">
      <c r="A18" s="23" t="s">
        <v>134</v>
      </c>
      <c r="B18" s="28">
        <v>17655.219999999998</v>
      </c>
    </row>
    <row r="19" spans="1:2" x14ac:dyDescent="0.25">
      <c r="A19" s="23" t="s">
        <v>123</v>
      </c>
      <c r="B19" s="28">
        <v>3212.17</v>
      </c>
    </row>
    <row r="20" spans="1:2" x14ac:dyDescent="0.25">
      <c r="A20" s="22" t="s">
        <v>118</v>
      </c>
      <c r="B20" s="28">
        <v>195217.76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81124-B2D6-423D-A7B6-24F98439E212}">
  <dimension ref="A1:G10"/>
  <sheetViews>
    <sheetView topLeftCell="A4" zoomScale="95" workbookViewId="0">
      <selection activeCell="D7" sqref="D7:F7"/>
    </sheetView>
  </sheetViews>
  <sheetFormatPr defaultRowHeight="15" x14ac:dyDescent="0.25"/>
  <cols>
    <col min="1" max="1" width="13.42578125" bestFit="1" customWidth="1"/>
    <col min="2" max="2" width="16.85546875" bestFit="1" customWidth="1"/>
    <col min="3" max="3" width="9" bestFit="1" customWidth="1"/>
    <col min="4" max="4" width="11.140625" bestFit="1" customWidth="1"/>
    <col min="5" max="5" width="9.28515625" bestFit="1" customWidth="1"/>
    <col min="6" max="6" width="15" bestFit="1" customWidth="1"/>
    <col min="7" max="8" width="11.28515625" bestFit="1" customWidth="1"/>
  </cols>
  <sheetData>
    <row r="1" spans="1:7" x14ac:dyDescent="0.25">
      <c r="A1" t="s">
        <v>137</v>
      </c>
    </row>
    <row r="3" spans="1:7" x14ac:dyDescent="0.25">
      <c r="A3" s="21" t="s">
        <v>122</v>
      </c>
      <c r="B3" s="21" t="s">
        <v>136</v>
      </c>
    </row>
    <row r="4" spans="1:7" x14ac:dyDescent="0.25">
      <c r="A4" s="21" t="s">
        <v>116</v>
      </c>
      <c r="B4" t="s">
        <v>12</v>
      </c>
      <c r="C4" t="s">
        <v>15</v>
      </c>
      <c r="D4" t="s">
        <v>21</v>
      </c>
      <c r="E4" t="s">
        <v>27</v>
      </c>
      <c r="F4" t="s">
        <v>39</v>
      </c>
      <c r="G4" t="s">
        <v>118</v>
      </c>
    </row>
    <row r="5" spans="1:7" x14ac:dyDescent="0.25">
      <c r="A5" s="22" t="s">
        <v>34</v>
      </c>
      <c r="B5" s="32">
        <v>11297.150000000001</v>
      </c>
      <c r="C5" s="32">
        <v>12200.26</v>
      </c>
      <c r="D5" s="32">
        <v>6621.24</v>
      </c>
      <c r="E5" s="32">
        <v>4876.96</v>
      </c>
      <c r="F5" s="32">
        <v>8472.7199999999993</v>
      </c>
      <c r="G5" s="32">
        <v>43468.33</v>
      </c>
    </row>
    <row r="6" spans="1:7" x14ac:dyDescent="0.25">
      <c r="A6" s="22" t="s">
        <v>18</v>
      </c>
      <c r="B6" s="32">
        <v>11389.090000000002</v>
      </c>
      <c r="C6" s="32">
        <v>2401.4499999999998</v>
      </c>
      <c r="D6" s="32">
        <v>2869.54</v>
      </c>
      <c r="E6" s="32">
        <v>7592.3399999999992</v>
      </c>
      <c r="F6" s="32">
        <v>8189.2200000000012</v>
      </c>
      <c r="G6" s="32">
        <v>32441.640000000003</v>
      </c>
    </row>
    <row r="7" spans="1:7" x14ac:dyDescent="0.25">
      <c r="A7" s="22" t="s">
        <v>24</v>
      </c>
      <c r="B7" s="32">
        <v>8037.0100000000011</v>
      </c>
      <c r="C7" s="32">
        <v>8422.82</v>
      </c>
      <c r="D7" s="32">
        <v>8191.7099999999991</v>
      </c>
      <c r="E7" s="32">
        <v>6978.08</v>
      </c>
      <c r="F7" s="32">
        <v>3345.8</v>
      </c>
      <c r="G7" s="32">
        <v>34975.420000000006</v>
      </c>
    </row>
    <row r="8" spans="1:7" x14ac:dyDescent="0.25">
      <c r="A8" s="22" t="s">
        <v>20</v>
      </c>
      <c r="B8" s="32">
        <v>9588.0400000000009</v>
      </c>
      <c r="C8" s="32">
        <v>8393.630000000001</v>
      </c>
      <c r="D8" s="32">
        <v>11989.070000000003</v>
      </c>
      <c r="E8" s="32">
        <v>7982.73</v>
      </c>
      <c r="F8" s="32">
        <v>2295.3199999999997</v>
      </c>
      <c r="G8" s="32">
        <v>40248.79</v>
      </c>
    </row>
    <row r="9" spans="1:7" x14ac:dyDescent="0.25">
      <c r="A9" s="22" t="s">
        <v>11</v>
      </c>
      <c r="B9" s="32">
        <v>6691.17</v>
      </c>
      <c r="C9" s="32">
        <v>10509.429999999998</v>
      </c>
      <c r="D9" s="32">
        <v>11372.44</v>
      </c>
      <c r="E9" s="32">
        <v>9182.7800000000007</v>
      </c>
      <c r="F9" s="32">
        <v>6327.76</v>
      </c>
      <c r="G9" s="32">
        <v>44083.58</v>
      </c>
    </row>
    <row r="10" spans="1:7" x14ac:dyDescent="0.25">
      <c r="A10" s="22" t="s">
        <v>118</v>
      </c>
      <c r="B10" s="32">
        <v>47002.460000000006</v>
      </c>
      <c r="C10" s="32">
        <v>41927.589999999997</v>
      </c>
      <c r="D10" s="32">
        <v>41044</v>
      </c>
      <c r="E10" s="32">
        <v>36612.89</v>
      </c>
      <c r="F10" s="32">
        <v>28630.82</v>
      </c>
      <c r="G10" s="32">
        <v>195217.76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281C6-9D14-4332-844A-2103301ECE17}">
  <dimension ref="A3:B10"/>
  <sheetViews>
    <sheetView workbookViewId="0">
      <selection activeCell="B16" sqref="B16"/>
    </sheetView>
  </sheetViews>
  <sheetFormatPr defaultRowHeight="15" x14ac:dyDescent="0.25"/>
  <cols>
    <col min="1" max="1" width="14.28515625" bestFit="1" customWidth="1"/>
    <col min="2" max="2" width="12.5703125" bestFit="1" customWidth="1"/>
  </cols>
  <sheetData>
    <row r="3" spans="1:2" x14ac:dyDescent="0.25">
      <c r="A3" s="21" t="s">
        <v>116</v>
      </c>
      <c r="B3" t="s">
        <v>122</v>
      </c>
    </row>
    <row r="4" spans="1:2" x14ac:dyDescent="0.25">
      <c r="A4" s="22" t="s">
        <v>12</v>
      </c>
      <c r="B4" s="28">
        <v>47002.460000000006</v>
      </c>
    </row>
    <row r="5" spans="1:2" x14ac:dyDescent="0.25">
      <c r="A5" s="22" t="s">
        <v>15</v>
      </c>
      <c r="B5" s="28">
        <v>41927.589999999989</v>
      </c>
    </row>
    <row r="6" spans="1:2" x14ac:dyDescent="0.25">
      <c r="A6" s="22" t="s">
        <v>21</v>
      </c>
      <c r="B6" s="28">
        <v>41044.000000000007</v>
      </c>
    </row>
    <row r="7" spans="1:2" x14ac:dyDescent="0.25">
      <c r="A7" s="22" t="s">
        <v>27</v>
      </c>
      <c r="B7" s="28">
        <v>36612.89</v>
      </c>
    </row>
    <row r="8" spans="1:2" x14ac:dyDescent="0.25">
      <c r="A8" s="22" t="s">
        <v>39</v>
      </c>
      <c r="B8" s="28">
        <v>28630.819999999992</v>
      </c>
    </row>
    <row r="9" spans="1:2" x14ac:dyDescent="0.25">
      <c r="A9" s="22" t="s">
        <v>117</v>
      </c>
      <c r="B9" s="28"/>
    </row>
    <row r="10" spans="1:2" x14ac:dyDescent="0.25">
      <c r="A10" s="22" t="s">
        <v>118</v>
      </c>
      <c r="B10" s="28">
        <v>195217.76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6F714-8D31-4FD5-BF1E-20DBCABD1A50}">
  <dimension ref="A1:L10"/>
  <sheetViews>
    <sheetView showGridLines="0" zoomScale="73" workbookViewId="0">
      <selection activeCell="H9" sqref="H9"/>
    </sheetView>
  </sheetViews>
  <sheetFormatPr defaultRowHeight="15" x14ac:dyDescent="0.25"/>
  <cols>
    <col min="3" max="3" width="12.7109375" bestFit="1" customWidth="1"/>
    <col min="5" max="5" width="9.28515625" bestFit="1" customWidth="1"/>
  </cols>
  <sheetData>
    <row r="1" spans="1:12" ht="31.5" x14ac:dyDescent="0.5">
      <c r="A1" s="33" t="s">
        <v>143</v>
      </c>
      <c r="B1" s="33"/>
      <c r="C1" s="33"/>
      <c r="D1" s="33"/>
      <c r="E1" s="33"/>
      <c r="F1" s="33"/>
      <c r="G1" s="33"/>
      <c r="H1" s="33"/>
      <c r="I1" s="33"/>
      <c r="J1" s="33"/>
      <c r="K1" s="33"/>
      <c r="L1" s="27"/>
    </row>
    <row r="3" spans="1:12" ht="15.75" thickBot="1" x14ac:dyDescent="0.3"/>
    <row r="4" spans="1:12" ht="18.75" x14ac:dyDescent="0.3">
      <c r="C4" s="36" t="s">
        <v>148</v>
      </c>
      <c r="D4" s="37"/>
      <c r="E4" s="38" t="s">
        <v>145</v>
      </c>
      <c r="F4" s="37"/>
      <c r="G4" s="34"/>
    </row>
    <row r="5" spans="1:12" ht="19.5" thickBot="1" x14ac:dyDescent="0.35">
      <c r="C5" s="39">
        <f>SUM(customer_analysis!E2:E201)</f>
        <v>195217.75999999992</v>
      </c>
      <c r="D5" s="40"/>
      <c r="E5" s="41">
        <f>SUM(customer_analysis!I2:I201)</f>
        <v>68287.010000000009</v>
      </c>
      <c r="F5" s="40"/>
      <c r="G5" s="34"/>
    </row>
    <row r="6" spans="1:12" ht="18.75" x14ac:dyDescent="0.3">
      <c r="C6" s="42"/>
      <c r="D6" s="42"/>
      <c r="E6" s="42"/>
      <c r="F6" s="42"/>
      <c r="G6" s="34"/>
    </row>
    <row r="7" spans="1:12" ht="19.5" thickBot="1" x14ac:dyDescent="0.35">
      <c r="C7" s="42"/>
      <c r="D7" s="42"/>
      <c r="E7" s="42"/>
      <c r="F7" s="42"/>
      <c r="G7" s="34"/>
    </row>
    <row r="8" spans="1:12" ht="18.75" x14ac:dyDescent="0.3">
      <c r="C8" s="43" t="s">
        <v>146</v>
      </c>
      <c r="D8" s="37"/>
      <c r="E8" s="43" t="s">
        <v>147</v>
      </c>
      <c r="F8" s="37"/>
      <c r="G8" s="35"/>
    </row>
    <row r="9" spans="1:12" ht="19.5" thickBot="1" x14ac:dyDescent="0.35">
      <c r="C9" s="44">
        <v>200</v>
      </c>
      <c r="D9" s="40"/>
      <c r="E9" s="44">
        <v>1999</v>
      </c>
      <c r="F9" s="40"/>
      <c r="G9" s="34"/>
    </row>
    <row r="10" spans="1:12" x14ac:dyDescent="0.25">
      <c r="C10" s="34"/>
      <c r="D10" s="34"/>
      <c r="E10" s="34"/>
      <c r="F10" s="34"/>
      <c r="G10" s="3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customer_analysis</vt:lpstr>
      <vt:lpstr>Sheet2</vt:lpstr>
      <vt:lpstr>Detail1</vt:lpstr>
      <vt:lpstr>TOP10</vt:lpstr>
      <vt:lpstr>sales</vt:lpstr>
      <vt:lpstr>regression</vt:lpstr>
      <vt:lpstr>statastics</vt:lpstr>
      <vt:lpstr>task 5</vt:lpstr>
      <vt:lpstr>task 8</vt:lpstr>
      <vt:lpstr>PRODUCT CATEGORY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Nensi Ray</dc:creator>
  <cp:lastModifiedBy>Nensi Ray</cp:lastModifiedBy>
  <dcterms:created xsi:type="dcterms:W3CDTF">2026-10-12T06:23:29Z</dcterms:created>
  <dcterms:modified xsi:type="dcterms:W3CDTF">2026-10-12T09:54:35Z</dcterms:modified>
</cp:coreProperties>
</file>